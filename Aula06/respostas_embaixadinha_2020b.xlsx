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270"/>
  </bookViews>
  <sheets>
    <sheet name="Respostas ao formulário 1" sheetId="1" r:id="rId1"/>
    <sheet name="Página2" sheetId="2" r:id="rId2"/>
    <sheet name="Página3" sheetId="3" r:id="rId3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N8" authorId="0">
      <text>
        <r>
          <rPr>
            <sz val="10"/>
            <rFont val="SimSun"/>
            <charset val="134"/>
          </rPr>
          <t>O respondente atualizou este valor.</t>
        </r>
      </text>
    </comment>
    <comment ref="D41" authorId="0">
      <text>
        <r>
          <rPr>
            <sz val="10"/>
            <rFont val="SimSun"/>
            <charset val="134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<sst xmlns="http://schemas.openxmlformats.org/spreadsheetml/2006/main" count="324" uniqueCount="171">
  <si>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</si>
  <si>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</si>
  <si>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</si>
  <si>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</si>
  <si>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</si>
  <si>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</si>
  <si>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</si>
  <si>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</si>
  <si>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</si>
  <si>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</si>
  <si>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</si>
  <si>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</si>
  <si>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</si>
  <si>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</si>
  <si>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Fidelis</t>
  </si>
  <si>
    <t>1.79</t>
  </si>
  <si>
    <t>M</t>
  </si>
  <si>
    <t>Nenhum</t>
  </si>
  <si>
    <t>Fisiculturismo</t>
  </si>
  <si>
    <t>GLG</t>
  </si>
  <si>
    <t>1.66</t>
  </si>
  <si>
    <t>72.1</t>
  </si>
  <si>
    <t>F</t>
  </si>
  <si>
    <t xml:space="preserve">Nenhum </t>
  </si>
  <si>
    <t xml:space="preserve">Vôlei </t>
  </si>
  <si>
    <t>Matinho</t>
  </si>
  <si>
    <t>1.63</t>
  </si>
  <si>
    <t>América</t>
  </si>
  <si>
    <t>Boxe</t>
  </si>
  <si>
    <t>phacampos</t>
  </si>
  <si>
    <t>1.75</t>
  </si>
  <si>
    <t>Palmeiras</t>
  </si>
  <si>
    <t>MMA</t>
  </si>
  <si>
    <t>Vi</t>
  </si>
  <si>
    <t>1.60</t>
  </si>
  <si>
    <t>nenhum</t>
  </si>
  <si>
    <t>vôlei</t>
  </si>
  <si>
    <t>Personal das Estrelas</t>
  </si>
  <si>
    <t>1.85</t>
  </si>
  <si>
    <t xml:space="preserve">Ginástica </t>
  </si>
  <si>
    <t>Gabizão</t>
  </si>
  <si>
    <t>Santos</t>
  </si>
  <si>
    <t>Futsal</t>
  </si>
  <si>
    <t>eu</t>
  </si>
  <si>
    <t>1.74</t>
  </si>
  <si>
    <t>palmeiras</t>
  </si>
  <si>
    <t>musculação</t>
  </si>
  <si>
    <t xml:space="preserve">Damian </t>
  </si>
  <si>
    <t>1.83</t>
  </si>
  <si>
    <t>Corinthians</t>
  </si>
  <si>
    <t>Futebol</t>
  </si>
  <si>
    <t xml:space="preserve">Paranauê </t>
  </si>
  <si>
    <t>1.69</t>
  </si>
  <si>
    <t>Capoeira</t>
  </si>
  <si>
    <t>Sashi</t>
  </si>
  <si>
    <t>1.68</t>
  </si>
  <si>
    <t>São Paulo</t>
  </si>
  <si>
    <t>Voleibol</t>
  </si>
  <si>
    <t>Marta Camisa 10</t>
  </si>
  <si>
    <t>Vôlei</t>
  </si>
  <si>
    <t>Seca</t>
  </si>
  <si>
    <t>1.64</t>
  </si>
  <si>
    <t>Matuza</t>
  </si>
  <si>
    <t xml:space="preserve">Corinthians </t>
  </si>
  <si>
    <t xml:space="preserve">Futebol </t>
  </si>
  <si>
    <t>Manu TZ</t>
  </si>
  <si>
    <t>1.80</t>
  </si>
  <si>
    <t>Po</t>
  </si>
  <si>
    <t>1.67</t>
  </si>
  <si>
    <t>NENHUM</t>
  </si>
  <si>
    <t>Opala</t>
  </si>
  <si>
    <t>1.77</t>
  </si>
  <si>
    <t>Basquete</t>
  </si>
  <si>
    <t>Binha</t>
  </si>
  <si>
    <t>Skate</t>
  </si>
  <si>
    <t>Napia</t>
  </si>
  <si>
    <t>1.78</t>
  </si>
  <si>
    <t>Tokyo</t>
  </si>
  <si>
    <t>1.61</t>
  </si>
  <si>
    <t>Muay thai</t>
  </si>
  <si>
    <t>Bala</t>
  </si>
  <si>
    <t>Cadu</t>
  </si>
  <si>
    <t>1.72</t>
  </si>
  <si>
    <t>São Paulo FC e Botafogo SP</t>
  </si>
  <si>
    <t>Futebol e Futsal</t>
  </si>
  <si>
    <t>Molusco</t>
  </si>
  <si>
    <t>55.7</t>
  </si>
  <si>
    <t>EHL</t>
  </si>
  <si>
    <t>São paulo</t>
  </si>
  <si>
    <t>futebol</t>
  </si>
  <si>
    <t>Febem</t>
  </si>
  <si>
    <t>1.89</t>
  </si>
  <si>
    <t>Ponte Preta</t>
  </si>
  <si>
    <t xml:space="preserve">Comédia </t>
  </si>
  <si>
    <t>1.65</t>
  </si>
  <si>
    <t>NAC</t>
  </si>
  <si>
    <t>Tênis</t>
  </si>
  <si>
    <t xml:space="preserve">H de habilidoso </t>
  </si>
  <si>
    <t xml:space="preserve">São Paulo </t>
  </si>
  <si>
    <t>Fenzza</t>
  </si>
  <si>
    <t>1.70</t>
  </si>
  <si>
    <t>Musculação</t>
  </si>
  <si>
    <t>capi</t>
  </si>
  <si>
    <t>TDN</t>
  </si>
  <si>
    <t>1.71</t>
  </si>
  <si>
    <t>Comercial</t>
  </si>
  <si>
    <t>Handebol</t>
  </si>
  <si>
    <t>O de O Breno</t>
  </si>
  <si>
    <t>GCS</t>
  </si>
  <si>
    <t>Eduardo Alexandre</t>
  </si>
  <si>
    <t>TRQ</t>
  </si>
  <si>
    <t>Mr X</t>
  </si>
  <si>
    <t>Dcnh</t>
  </si>
  <si>
    <t>1.57</t>
  </si>
  <si>
    <t>HEmbaixadinha</t>
  </si>
  <si>
    <t>1.86</t>
  </si>
  <si>
    <t>Botafogo RP</t>
  </si>
  <si>
    <t>Automobilismo</t>
  </si>
  <si>
    <t>Iguera</t>
  </si>
  <si>
    <t>são paulo</t>
  </si>
  <si>
    <t>futebol americano</t>
  </si>
  <si>
    <t xml:space="preserve">Vampira </t>
  </si>
  <si>
    <t>1.55</t>
  </si>
  <si>
    <t>Shot Student</t>
  </si>
  <si>
    <t xml:space="preserve">SÃO PAULO </t>
  </si>
  <si>
    <t xml:space="preserve">Atletismo </t>
  </si>
  <si>
    <t>Rávela</t>
  </si>
  <si>
    <t>Bia Bessa</t>
  </si>
  <si>
    <t>Poderosa</t>
  </si>
  <si>
    <t>Tradição</t>
  </si>
  <si>
    <t>1.87</t>
  </si>
  <si>
    <t>Natação</t>
  </si>
  <si>
    <t>Uber</t>
  </si>
  <si>
    <t>1.62</t>
  </si>
  <si>
    <t>Treino contra resistência</t>
  </si>
  <si>
    <t>KM</t>
  </si>
  <si>
    <t>Ginástica</t>
  </si>
  <si>
    <t xml:space="preserve">O PAI TA ON </t>
  </si>
  <si>
    <t>Fut Rap</t>
  </si>
  <si>
    <t>Gênio da lâmpada</t>
  </si>
  <si>
    <t xml:space="preserve">Natação </t>
  </si>
  <si>
    <t>Luna</t>
  </si>
  <si>
    <t>Paçoca</t>
  </si>
  <si>
    <t>1.73</t>
  </si>
  <si>
    <t>Sport Clube Corinthians Paulista</t>
  </si>
  <si>
    <t>Foca</t>
  </si>
  <si>
    <t>Judô</t>
  </si>
  <si>
    <t xml:space="preserve">Herege </t>
  </si>
  <si>
    <t>1.81</t>
  </si>
  <si>
    <t>pseudo eu</t>
  </si>
  <si>
    <t>55.8</t>
  </si>
  <si>
    <t>sao paulo</t>
  </si>
  <si>
    <t>handball</t>
  </si>
  <si>
    <t xml:space="preserve">Militão </t>
  </si>
  <si>
    <t>TZ</t>
  </si>
  <si>
    <t>Anjinn</t>
  </si>
  <si>
    <t>Leo Stronda</t>
  </si>
  <si>
    <t>BS</t>
  </si>
  <si>
    <t>Corrida</t>
  </si>
  <si>
    <t>N</t>
  </si>
  <si>
    <t>Numero de elementos</t>
  </si>
  <si>
    <t>Classes</t>
  </si>
  <si>
    <t>Freq abs</t>
  </si>
  <si>
    <t>Ponto medio</t>
  </si>
  <si>
    <t>lim inf</t>
  </si>
  <si>
    <t>lim sup</t>
  </si>
  <si>
    <t>K</t>
  </si>
  <si>
    <t>Numero de classes (bins)</t>
  </si>
  <si>
    <t>A</t>
  </si>
  <si>
    <t>Amplitude</t>
  </si>
  <si>
    <t>H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</si>
</sst>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m/d/yyyy\ h:mm:ss"/>
    <numFmt numFmtId="178" formatCode="_ * #,##0_ ;_ * \-#,##0_ ;_ * &quot;-&quot;_ ;_ @_ "/>
    <numFmt numFmtId="44" formatCode="_(&quot;$&quot;* #,##0.00_);_(&quot;$&quot;* \(#,##0.00\);_(&quot;$&quot;* &quot;-&quot;??_);_(@_)"/>
  </numFmts>
  <fonts count="23"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1"/>
      <color rgb="FFFA7D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12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19" borderId="6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26" borderId="1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77" fontId="1" fillId="0" borderId="0" xfId="0" applyNumberFormat="1" applyFont="1" applyAlignment="1"/>
    <xf numFmtId="58" fontId="1" fillId="0" borderId="0" xfId="0" applyNumberFormat="1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0"/>
  <sheetViews>
    <sheetView tabSelected="1" topLeftCell="C1" workbookViewId="0">
      <pane ySplit="1" topLeftCell="A32" activePane="bottomLeft" state="frozen"/>
      <selection/>
      <selection pane="bottomLeft" activeCell="K54" sqref="K54"/>
    </sheetView>
  </sheetViews>
  <sheetFormatPr defaultColWidth="14.4285714285714" defaultRowHeight="15.75" customHeight="1"/>
  <cols>
    <col min="1" max="7" width="21.5714285714286" customWidth="1"/>
    <col min="8" max="8" width="27.4285714285714" customWidth="1"/>
    <col min="9" max="20" width="21.5714285714286" customWidth="1"/>
  </cols>
  <sheetData>
    <row r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Height="1" spans="1:14">
      <c r="A2" s="3">
        <v>44062.9200040741</v>
      </c>
      <c r="B2" s="1"/>
      <c r="C2" s="1">
        <v>11855641</v>
      </c>
      <c r="D2" s="1" t="s">
        <v>14</v>
      </c>
      <c r="E2" s="4">
        <v>36805</v>
      </c>
      <c r="F2" s="1" t="s">
        <v>15</v>
      </c>
      <c r="G2" s="1">
        <v>72</v>
      </c>
      <c r="H2" s="1">
        <v>40</v>
      </c>
      <c r="I2" s="1" t="s">
        <v>16</v>
      </c>
      <c r="J2" s="1">
        <v>0</v>
      </c>
      <c r="K2" s="1">
        <v>3</v>
      </c>
      <c r="L2" s="1" t="s">
        <v>17</v>
      </c>
      <c r="M2" s="1" t="s">
        <v>18</v>
      </c>
      <c r="N2" s="1">
        <v>5</v>
      </c>
    </row>
    <row r="3" customHeight="1" spans="1:14">
      <c r="A3" s="3">
        <v>44062.9200154861</v>
      </c>
      <c r="B3" s="1"/>
      <c r="C3" s="1">
        <v>11913405</v>
      </c>
      <c r="D3" s="1" t="s">
        <v>19</v>
      </c>
      <c r="E3" s="4">
        <v>37176</v>
      </c>
      <c r="F3" s="1" t="s">
        <v>20</v>
      </c>
      <c r="G3" s="1" t="s">
        <v>21</v>
      </c>
      <c r="H3" s="1">
        <v>39</v>
      </c>
      <c r="I3" s="1" t="s">
        <v>22</v>
      </c>
      <c r="J3" s="1">
        <v>0</v>
      </c>
      <c r="K3" s="1">
        <v>1</v>
      </c>
      <c r="L3" s="1" t="s">
        <v>23</v>
      </c>
      <c r="M3" s="1" t="s">
        <v>24</v>
      </c>
      <c r="N3" s="1">
        <v>2</v>
      </c>
    </row>
    <row r="4" customHeight="1" spans="1:14">
      <c r="A4" s="3">
        <v>44062.9253295833</v>
      </c>
      <c r="B4" s="1"/>
      <c r="C4" s="1">
        <v>11876742</v>
      </c>
      <c r="D4" s="1" t="s">
        <v>25</v>
      </c>
      <c r="E4" s="4">
        <v>31434</v>
      </c>
      <c r="F4" s="1" t="s">
        <v>26</v>
      </c>
      <c r="G4" s="1">
        <v>60</v>
      </c>
      <c r="H4" s="1">
        <v>38</v>
      </c>
      <c r="I4" s="1" t="s">
        <v>22</v>
      </c>
      <c r="J4" s="1">
        <v>0</v>
      </c>
      <c r="K4" s="1">
        <v>1</v>
      </c>
      <c r="L4" s="1" t="s">
        <v>27</v>
      </c>
      <c r="M4" s="1" t="s">
        <v>28</v>
      </c>
      <c r="N4" s="1">
        <v>1</v>
      </c>
    </row>
    <row r="5" customHeight="1" spans="1:14">
      <c r="A5" s="3">
        <v>44063.3915598843</v>
      </c>
      <c r="B5" s="1"/>
      <c r="C5" s="1">
        <v>7963755</v>
      </c>
      <c r="D5" s="1" t="s">
        <v>29</v>
      </c>
      <c r="E5" s="4">
        <v>33998</v>
      </c>
      <c r="F5" s="1" t="s">
        <v>30</v>
      </c>
      <c r="G5" s="1">
        <v>73</v>
      </c>
      <c r="H5" s="1">
        <v>40</v>
      </c>
      <c r="I5" s="1" t="s">
        <v>16</v>
      </c>
      <c r="J5" s="1">
        <v>2</v>
      </c>
      <c r="K5" s="1">
        <v>2</v>
      </c>
      <c r="L5" s="1" t="s">
        <v>31</v>
      </c>
      <c r="M5" s="1" t="s">
        <v>32</v>
      </c>
      <c r="N5" s="1">
        <v>5</v>
      </c>
    </row>
    <row r="6" customHeight="1" spans="1:14">
      <c r="A6" s="3">
        <v>44063.4091569097</v>
      </c>
      <c r="B6" s="1"/>
      <c r="C6" s="1">
        <v>11782491</v>
      </c>
      <c r="D6" s="1" t="s">
        <v>33</v>
      </c>
      <c r="E6" s="4">
        <v>36949</v>
      </c>
      <c r="F6" s="1" t="s">
        <v>34</v>
      </c>
      <c r="G6" s="1">
        <v>58</v>
      </c>
      <c r="H6" s="1">
        <v>37</v>
      </c>
      <c r="I6" s="1" t="s">
        <v>22</v>
      </c>
      <c r="J6" s="1">
        <v>0</v>
      </c>
      <c r="K6" s="1">
        <v>1</v>
      </c>
      <c r="L6" s="1" t="s">
        <v>35</v>
      </c>
      <c r="M6" s="1" t="s">
        <v>36</v>
      </c>
      <c r="N6" s="1">
        <v>3</v>
      </c>
    </row>
    <row r="7" customHeight="1" spans="1:14">
      <c r="A7" s="3">
        <v>44063.4252271991</v>
      </c>
      <c r="B7" s="1"/>
      <c r="C7" s="1">
        <v>9893257</v>
      </c>
      <c r="D7" s="1" t="s">
        <v>37</v>
      </c>
      <c r="E7" s="4">
        <v>35948</v>
      </c>
      <c r="F7" s="1" t="s">
        <v>38</v>
      </c>
      <c r="G7" s="1">
        <v>93</v>
      </c>
      <c r="H7" s="1">
        <v>44</v>
      </c>
      <c r="I7" s="1" t="s">
        <v>16</v>
      </c>
      <c r="J7" s="1">
        <v>0</v>
      </c>
      <c r="K7" s="1">
        <v>1</v>
      </c>
      <c r="L7" s="1" t="s">
        <v>31</v>
      </c>
      <c r="M7" s="1" t="s">
        <v>39</v>
      </c>
      <c r="N7" s="1">
        <v>3</v>
      </c>
    </row>
    <row r="8" customHeight="1" spans="1:14">
      <c r="A8" s="3">
        <v>44064.3499875116</v>
      </c>
      <c r="B8" s="1"/>
      <c r="C8" s="1">
        <v>11851081</v>
      </c>
      <c r="D8" s="1" t="s">
        <v>40</v>
      </c>
      <c r="E8" s="4">
        <v>37146</v>
      </c>
      <c r="F8" s="1" t="s">
        <v>34</v>
      </c>
      <c r="G8" s="1">
        <v>65</v>
      </c>
      <c r="H8" s="1">
        <v>36</v>
      </c>
      <c r="I8" s="1" t="s">
        <v>22</v>
      </c>
      <c r="J8" s="1">
        <v>7</v>
      </c>
      <c r="K8" s="1">
        <v>3</v>
      </c>
      <c r="L8" s="1" t="s">
        <v>41</v>
      </c>
      <c r="M8" s="1" t="s">
        <v>42</v>
      </c>
      <c r="N8" s="1">
        <v>14</v>
      </c>
    </row>
    <row r="9" customHeight="1" spans="1:14">
      <c r="A9" s="3">
        <v>44063.4616491667</v>
      </c>
      <c r="B9" s="1"/>
      <c r="C9" s="1">
        <v>11931830</v>
      </c>
      <c r="D9" s="1" t="s">
        <v>43</v>
      </c>
      <c r="E9" s="4">
        <v>37277</v>
      </c>
      <c r="F9" s="1" t="s">
        <v>44</v>
      </c>
      <c r="G9" s="1">
        <v>82</v>
      </c>
      <c r="H9" s="1">
        <v>42</v>
      </c>
      <c r="I9" s="1" t="s">
        <v>16</v>
      </c>
      <c r="J9" s="1">
        <v>0</v>
      </c>
      <c r="K9" s="1">
        <v>1</v>
      </c>
      <c r="L9" s="1" t="s">
        <v>45</v>
      </c>
      <c r="M9" s="1" t="s">
        <v>46</v>
      </c>
      <c r="N9" s="1">
        <v>3</v>
      </c>
    </row>
    <row r="10" customHeight="1" spans="1:14">
      <c r="A10" s="3">
        <v>44063.4673971528</v>
      </c>
      <c r="B10" s="1"/>
      <c r="C10" s="1">
        <v>11883243</v>
      </c>
      <c r="D10" s="1" t="s">
        <v>47</v>
      </c>
      <c r="E10" s="4">
        <v>37432</v>
      </c>
      <c r="F10" s="1" t="s">
        <v>48</v>
      </c>
      <c r="G10" s="1">
        <v>111</v>
      </c>
      <c r="H10" s="1">
        <v>42</v>
      </c>
      <c r="I10" s="1" t="s">
        <v>16</v>
      </c>
      <c r="J10" s="1">
        <v>11</v>
      </c>
      <c r="K10" s="1">
        <v>3</v>
      </c>
      <c r="L10" s="1" t="s">
        <v>49</v>
      </c>
      <c r="M10" s="1" t="s">
        <v>50</v>
      </c>
      <c r="N10" s="1">
        <v>36</v>
      </c>
    </row>
    <row r="11" customHeight="1" spans="1:14">
      <c r="A11" s="3">
        <v>44063.4772450926</v>
      </c>
      <c r="B11" s="1"/>
      <c r="C11" s="1">
        <v>11845970</v>
      </c>
      <c r="D11" s="1" t="s">
        <v>51</v>
      </c>
      <c r="E11" s="4">
        <v>37347</v>
      </c>
      <c r="F11" s="1" t="s">
        <v>52</v>
      </c>
      <c r="G11" s="1">
        <v>85</v>
      </c>
      <c r="H11" s="1">
        <v>39</v>
      </c>
      <c r="I11" s="1" t="s">
        <v>22</v>
      </c>
      <c r="J11" s="1">
        <v>0</v>
      </c>
      <c r="K11" s="1">
        <v>1</v>
      </c>
      <c r="L11" s="1" t="s">
        <v>49</v>
      </c>
      <c r="M11" s="1" t="s">
        <v>53</v>
      </c>
      <c r="N11" s="1">
        <v>2</v>
      </c>
    </row>
    <row r="12" customHeight="1" spans="1:14">
      <c r="A12" s="3">
        <v>44063.4817844444</v>
      </c>
      <c r="B12" s="1"/>
      <c r="C12" s="1">
        <v>11782592</v>
      </c>
      <c r="D12" s="1" t="s">
        <v>54</v>
      </c>
      <c r="E12" s="4">
        <v>36970</v>
      </c>
      <c r="F12" s="1" t="s">
        <v>55</v>
      </c>
      <c r="G12" s="1">
        <v>80</v>
      </c>
      <c r="H12" s="1">
        <v>39</v>
      </c>
      <c r="I12" s="1" t="s">
        <v>22</v>
      </c>
      <c r="J12" s="1">
        <v>0</v>
      </c>
      <c r="K12" s="1">
        <v>2</v>
      </c>
      <c r="L12" s="1" t="s">
        <v>56</v>
      </c>
      <c r="M12" s="1" t="s">
        <v>57</v>
      </c>
      <c r="N12" s="1">
        <v>6</v>
      </c>
    </row>
    <row r="13" customHeight="1" spans="1:14">
      <c r="A13" s="3">
        <v>44063.486730081</v>
      </c>
      <c r="B13" s="1"/>
      <c r="C13" s="1">
        <v>11913642</v>
      </c>
      <c r="D13" s="1" t="s">
        <v>58</v>
      </c>
      <c r="E13" s="4">
        <v>37075</v>
      </c>
      <c r="F13" s="1" t="s">
        <v>30</v>
      </c>
      <c r="G13" s="1">
        <v>66</v>
      </c>
      <c r="H13" s="1">
        <v>39</v>
      </c>
      <c r="I13" s="1" t="s">
        <v>22</v>
      </c>
      <c r="J13" s="1">
        <v>0</v>
      </c>
      <c r="K13" s="1">
        <v>1</v>
      </c>
      <c r="L13" s="1" t="s">
        <v>56</v>
      </c>
      <c r="M13" s="1" t="s">
        <v>59</v>
      </c>
      <c r="N13" s="1">
        <v>2</v>
      </c>
    </row>
    <row r="14" customHeight="1" spans="1:14">
      <c r="A14" s="3">
        <v>44063.4916982639</v>
      </c>
      <c r="B14" s="1"/>
      <c r="C14" s="1">
        <v>11847631</v>
      </c>
      <c r="D14" s="1" t="s">
        <v>60</v>
      </c>
      <c r="E14" s="4">
        <v>37435</v>
      </c>
      <c r="F14" s="1" t="s">
        <v>61</v>
      </c>
      <c r="G14" s="1">
        <v>70</v>
      </c>
      <c r="H14" s="1">
        <v>38</v>
      </c>
      <c r="I14" s="1" t="s">
        <v>22</v>
      </c>
      <c r="J14" s="1">
        <v>0</v>
      </c>
      <c r="K14" s="1">
        <v>1</v>
      </c>
      <c r="L14" s="1" t="s">
        <v>49</v>
      </c>
      <c r="M14" s="1" t="s">
        <v>59</v>
      </c>
      <c r="N14" s="1">
        <v>5</v>
      </c>
    </row>
    <row r="15" customHeight="1" spans="1:14">
      <c r="A15" s="3">
        <v>44063.5095810185</v>
      </c>
      <c r="B15" s="1"/>
      <c r="C15" s="1">
        <v>11911390</v>
      </c>
      <c r="D15" s="1" t="s">
        <v>62</v>
      </c>
      <c r="E15" s="4">
        <v>34649</v>
      </c>
      <c r="F15" s="1" t="s">
        <v>30</v>
      </c>
      <c r="G15" s="1">
        <v>110</v>
      </c>
      <c r="H15" s="1">
        <v>42</v>
      </c>
      <c r="I15" s="1" t="s">
        <v>16</v>
      </c>
      <c r="J15" s="1">
        <v>16</v>
      </c>
      <c r="K15" s="1">
        <v>4</v>
      </c>
      <c r="L15" s="1" t="s">
        <v>63</v>
      </c>
      <c r="M15" s="1" t="s">
        <v>64</v>
      </c>
      <c r="N15" s="1">
        <v>30</v>
      </c>
    </row>
    <row r="16" customHeight="1" spans="1:14">
      <c r="A16" s="3">
        <v>44063.553850081</v>
      </c>
      <c r="B16" s="1"/>
      <c r="C16" s="1">
        <v>11782320</v>
      </c>
      <c r="D16" s="1" t="s">
        <v>65</v>
      </c>
      <c r="E16" s="4">
        <v>37175</v>
      </c>
      <c r="F16" s="1" t="s">
        <v>66</v>
      </c>
      <c r="G16" s="1">
        <v>62</v>
      </c>
      <c r="H16" s="1">
        <v>41</v>
      </c>
      <c r="I16" s="1" t="s">
        <v>16</v>
      </c>
      <c r="J16" s="1">
        <v>12</v>
      </c>
      <c r="K16" s="1">
        <v>4</v>
      </c>
      <c r="L16" s="1" t="s">
        <v>49</v>
      </c>
      <c r="M16" s="1" t="s">
        <v>50</v>
      </c>
      <c r="N16" s="1">
        <v>14</v>
      </c>
    </row>
    <row r="17" customHeight="1" spans="1:14">
      <c r="A17" s="3">
        <v>44063.5877581134</v>
      </c>
      <c r="B17" s="1"/>
      <c r="C17" s="1">
        <v>11931695</v>
      </c>
      <c r="D17" s="1" t="s">
        <v>67</v>
      </c>
      <c r="E17" s="4">
        <v>36946</v>
      </c>
      <c r="F17" s="1" t="s">
        <v>68</v>
      </c>
      <c r="G17" s="1">
        <v>56</v>
      </c>
      <c r="H17" s="1">
        <v>37</v>
      </c>
      <c r="I17" s="1" t="s">
        <v>22</v>
      </c>
      <c r="J17" s="1">
        <v>3</v>
      </c>
      <c r="K17" s="1">
        <v>3</v>
      </c>
      <c r="L17" s="1" t="s">
        <v>69</v>
      </c>
      <c r="M17" s="1" t="s">
        <v>42</v>
      </c>
      <c r="N17" s="1">
        <v>3</v>
      </c>
    </row>
    <row r="18" customHeight="1" spans="1:14">
      <c r="A18" s="3">
        <v>44063.5933143056</v>
      </c>
      <c r="B18" s="1"/>
      <c r="C18" s="1">
        <v>10871922</v>
      </c>
      <c r="D18" s="1" t="s">
        <v>70</v>
      </c>
      <c r="E18" s="4">
        <v>36283</v>
      </c>
      <c r="F18" s="1" t="s">
        <v>71</v>
      </c>
      <c r="G18" s="1">
        <v>73</v>
      </c>
      <c r="H18" s="1">
        <v>42</v>
      </c>
      <c r="I18" s="1" t="s">
        <v>16</v>
      </c>
      <c r="J18" s="1">
        <v>0</v>
      </c>
      <c r="K18" s="1">
        <v>2</v>
      </c>
      <c r="L18" s="1" t="s">
        <v>31</v>
      </c>
      <c r="M18" s="1" t="s">
        <v>72</v>
      </c>
      <c r="N18" s="1">
        <v>4</v>
      </c>
    </row>
    <row r="19" customHeight="1" spans="1:14">
      <c r="A19" s="3">
        <v>44063.6115371528</v>
      </c>
      <c r="B19" s="1"/>
      <c r="C19" s="1">
        <v>11216220</v>
      </c>
      <c r="D19" s="1" t="s">
        <v>73</v>
      </c>
      <c r="E19" s="4">
        <v>37134</v>
      </c>
      <c r="F19" s="1" t="s">
        <v>26</v>
      </c>
      <c r="G19" s="1">
        <v>50</v>
      </c>
      <c r="H19" s="1">
        <v>35</v>
      </c>
      <c r="I19" s="1" t="s">
        <v>22</v>
      </c>
      <c r="J19" s="1">
        <v>4</v>
      </c>
      <c r="K19" s="1">
        <v>3</v>
      </c>
      <c r="L19" s="1" t="s">
        <v>31</v>
      </c>
      <c r="M19" s="1" t="s">
        <v>74</v>
      </c>
      <c r="N19" s="1">
        <v>17</v>
      </c>
    </row>
    <row r="20" customHeight="1" spans="1:14">
      <c r="A20" s="3">
        <v>44063.6138963194</v>
      </c>
      <c r="B20" s="1"/>
      <c r="C20" s="1">
        <v>11855620</v>
      </c>
      <c r="D20" s="1" t="s">
        <v>75</v>
      </c>
      <c r="E20" s="4">
        <v>36159</v>
      </c>
      <c r="F20" s="1" t="s">
        <v>76</v>
      </c>
      <c r="G20" s="1">
        <v>63</v>
      </c>
      <c r="H20" s="1">
        <v>41</v>
      </c>
      <c r="I20" s="1" t="s">
        <v>16</v>
      </c>
      <c r="J20" s="1">
        <v>14</v>
      </c>
      <c r="K20" s="1">
        <v>3</v>
      </c>
      <c r="L20" s="1" t="s">
        <v>41</v>
      </c>
      <c r="M20" s="1" t="s">
        <v>50</v>
      </c>
      <c r="N20" s="1">
        <v>10</v>
      </c>
    </row>
    <row r="21" customHeight="1" spans="1:14">
      <c r="A21" s="3">
        <v>44063.6233227778</v>
      </c>
      <c r="B21" s="1"/>
      <c r="C21" s="1">
        <v>11782470</v>
      </c>
      <c r="D21" s="1" t="s">
        <v>77</v>
      </c>
      <c r="E21" s="4">
        <v>35444</v>
      </c>
      <c r="F21" s="1" t="s">
        <v>78</v>
      </c>
      <c r="G21" s="1">
        <v>52</v>
      </c>
      <c r="H21" s="1">
        <v>38</v>
      </c>
      <c r="I21" s="1" t="s">
        <v>22</v>
      </c>
      <c r="J21" s="1">
        <v>0</v>
      </c>
      <c r="K21" s="1">
        <v>1</v>
      </c>
      <c r="L21" s="1" t="s">
        <v>49</v>
      </c>
      <c r="M21" s="1" t="s">
        <v>79</v>
      </c>
      <c r="N21" s="1">
        <v>5</v>
      </c>
    </row>
    <row r="22" customHeight="1" spans="1:14">
      <c r="A22" s="3">
        <v>44063.6255655903</v>
      </c>
      <c r="B22" s="1"/>
      <c r="C22" s="1">
        <v>4763110</v>
      </c>
      <c r="D22" s="1" t="s">
        <v>80</v>
      </c>
      <c r="E22" s="4">
        <v>37130</v>
      </c>
      <c r="F22" s="1" t="s">
        <v>71</v>
      </c>
      <c r="G22" s="1">
        <v>76</v>
      </c>
      <c r="H22" s="1">
        <v>42</v>
      </c>
      <c r="I22" s="1" t="s">
        <v>16</v>
      </c>
      <c r="J22" s="1">
        <v>1</v>
      </c>
      <c r="K22" s="1">
        <v>2</v>
      </c>
      <c r="L22" s="1" t="s">
        <v>56</v>
      </c>
      <c r="M22" s="1" t="s">
        <v>32</v>
      </c>
      <c r="N22" s="1">
        <v>9</v>
      </c>
    </row>
    <row r="23" customHeight="1" spans="1:14">
      <c r="A23" s="3">
        <v>44063.6269961806</v>
      </c>
      <c r="B23" s="1"/>
      <c r="C23" s="1">
        <v>11908927</v>
      </c>
      <c r="D23" s="1" t="s">
        <v>81</v>
      </c>
      <c r="E23" s="4">
        <v>37176</v>
      </c>
      <c r="F23" s="1" t="s">
        <v>82</v>
      </c>
      <c r="G23" s="1">
        <v>68</v>
      </c>
      <c r="H23" s="1">
        <v>39</v>
      </c>
      <c r="I23" s="1" t="s">
        <v>16</v>
      </c>
      <c r="J23" s="1">
        <v>13</v>
      </c>
      <c r="K23" s="1">
        <v>3</v>
      </c>
      <c r="L23" s="1" t="s">
        <v>83</v>
      </c>
      <c r="M23" s="1" t="s">
        <v>84</v>
      </c>
      <c r="N23" s="1">
        <v>10</v>
      </c>
    </row>
    <row r="24" customHeight="1" spans="1:14">
      <c r="A24" s="3">
        <v>44063.6279325463</v>
      </c>
      <c r="B24" s="1"/>
      <c r="C24" s="1">
        <v>11782640</v>
      </c>
      <c r="D24" s="1" t="s">
        <v>85</v>
      </c>
      <c r="E24" s="4">
        <v>37484</v>
      </c>
      <c r="F24" s="1" t="s">
        <v>30</v>
      </c>
      <c r="G24" s="1" t="s">
        <v>86</v>
      </c>
      <c r="H24" s="1">
        <v>39</v>
      </c>
      <c r="I24" s="1" t="s">
        <v>16</v>
      </c>
      <c r="J24" s="1">
        <v>12</v>
      </c>
      <c r="K24" s="1">
        <v>4</v>
      </c>
      <c r="L24" s="1" t="s">
        <v>56</v>
      </c>
      <c r="M24" s="1" t="s">
        <v>50</v>
      </c>
      <c r="N24" s="1">
        <v>12</v>
      </c>
    </row>
    <row r="25" customHeight="1" spans="1:14">
      <c r="A25" s="3">
        <v>44063.6360171065</v>
      </c>
      <c r="B25" s="1"/>
      <c r="C25" s="1">
        <v>11910941</v>
      </c>
      <c r="D25" s="1" t="s">
        <v>87</v>
      </c>
      <c r="E25" s="4">
        <v>36997</v>
      </c>
      <c r="F25" s="1" t="s">
        <v>30</v>
      </c>
      <c r="G25" s="1">
        <v>67</v>
      </c>
      <c r="H25" s="1">
        <v>41</v>
      </c>
      <c r="I25" s="1" t="s">
        <v>16</v>
      </c>
      <c r="J25" s="1">
        <v>14</v>
      </c>
      <c r="K25" s="1">
        <v>5</v>
      </c>
      <c r="L25" s="1" t="s">
        <v>88</v>
      </c>
      <c r="M25" s="1" t="s">
        <v>89</v>
      </c>
      <c r="N25" s="1">
        <v>15</v>
      </c>
    </row>
    <row r="26" customHeight="1" spans="1:14">
      <c r="A26" s="3">
        <v>44063.6394222801</v>
      </c>
      <c r="B26" s="1"/>
      <c r="C26" s="1">
        <v>11782334</v>
      </c>
      <c r="D26" s="1" t="s">
        <v>90</v>
      </c>
      <c r="E26" s="4">
        <v>37337</v>
      </c>
      <c r="F26" s="1" t="s">
        <v>91</v>
      </c>
      <c r="G26" s="1">
        <v>83</v>
      </c>
      <c r="H26" s="1">
        <v>45</v>
      </c>
      <c r="I26" s="1" t="s">
        <v>16</v>
      </c>
      <c r="J26" s="1">
        <v>9</v>
      </c>
      <c r="K26" s="1">
        <v>4</v>
      </c>
      <c r="L26" s="1" t="s">
        <v>92</v>
      </c>
      <c r="M26" s="1" t="s">
        <v>72</v>
      </c>
      <c r="N26" s="1">
        <v>11</v>
      </c>
    </row>
    <row r="27" customHeight="1" spans="1:14">
      <c r="A27" s="3">
        <v>44063.6713588773</v>
      </c>
      <c r="B27" s="1"/>
      <c r="C27" s="1">
        <v>11782504</v>
      </c>
      <c r="D27" s="1" t="s">
        <v>93</v>
      </c>
      <c r="E27" s="4">
        <v>37442</v>
      </c>
      <c r="F27" s="1" t="s">
        <v>94</v>
      </c>
      <c r="G27" s="1">
        <v>64</v>
      </c>
      <c r="H27" s="1">
        <v>39</v>
      </c>
      <c r="I27" s="1" t="s">
        <v>16</v>
      </c>
      <c r="J27" s="1">
        <v>11</v>
      </c>
      <c r="K27" s="1">
        <v>5</v>
      </c>
      <c r="L27" s="1" t="s">
        <v>56</v>
      </c>
      <c r="M27" s="1" t="s">
        <v>50</v>
      </c>
      <c r="N27" s="1">
        <v>22</v>
      </c>
    </row>
    <row r="28" customHeight="1" spans="1:14">
      <c r="A28" s="3">
        <v>44063.6718553125</v>
      </c>
      <c r="B28" s="1"/>
      <c r="C28" s="1">
        <v>11847781</v>
      </c>
      <c r="D28" s="1" t="s">
        <v>95</v>
      </c>
      <c r="E28" s="4">
        <v>33272</v>
      </c>
      <c r="F28" s="1" t="s">
        <v>94</v>
      </c>
      <c r="G28" s="1">
        <v>55</v>
      </c>
      <c r="H28" s="1">
        <v>37</v>
      </c>
      <c r="I28" s="1" t="s">
        <v>22</v>
      </c>
      <c r="J28" s="1">
        <v>0</v>
      </c>
      <c r="K28" s="1">
        <v>1</v>
      </c>
      <c r="L28" s="1" t="s">
        <v>31</v>
      </c>
      <c r="M28" s="1" t="s">
        <v>96</v>
      </c>
      <c r="N28" s="1">
        <v>0</v>
      </c>
    </row>
    <row r="29" customHeight="1" spans="1:14">
      <c r="A29" s="3">
        <v>44063.6815417708</v>
      </c>
      <c r="B29" s="1"/>
      <c r="C29" s="1">
        <v>11916440</v>
      </c>
      <c r="D29" s="1" t="s">
        <v>97</v>
      </c>
      <c r="E29" s="4">
        <v>36876</v>
      </c>
      <c r="F29" s="1" t="s">
        <v>15</v>
      </c>
      <c r="G29" s="1">
        <v>68</v>
      </c>
      <c r="H29" s="1">
        <v>42</v>
      </c>
      <c r="I29" s="1" t="s">
        <v>16</v>
      </c>
      <c r="J29" s="1">
        <v>15</v>
      </c>
      <c r="K29" s="1">
        <v>4</v>
      </c>
      <c r="L29" s="1" t="s">
        <v>98</v>
      </c>
      <c r="M29" s="1" t="s">
        <v>64</v>
      </c>
      <c r="N29" s="1">
        <v>7</v>
      </c>
    </row>
    <row r="30" customHeight="1" spans="1:14">
      <c r="A30" s="3">
        <v>44063.6849348148</v>
      </c>
      <c r="B30" s="1"/>
      <c r="C30" s="1">
        <v>11911744</v>
      </c>
      <c r="D30" s="1" t="s">
        <v>99</v>
      </c>
      <c r="E30" s="4">
        <v>36073</v>
      </c>
      <c r="F30" s="1" t="s">
        <v>100</v>
      </c>
      <c r="G30" s="1">
        <v>54</v>
      </c>
      <c r="H30" s="1">
        <v>36</v>
      </c>
      <c r="I30" s="1" t="s">
        <v>22</v>
      </c>
      <c r="J30" s="1">
        <v>0</v>
      </c>
      <c r="K30" s="1">
        <v>1</v>
      </c>
      <c r="L30" s="1" t="s">
        <v>17</v>
      </c>
      <c r="M30" s="1" t="s">
        <v>101</v>
      </c>
      <c r="N30" s="1">
        <v>2</v>
      </c>
    </row>
    <row r="31" customHeight="1" spans="1:14">
      <c r="A31" s="3">
        <v>44063.7131412963</v>
      </c>
      <c r="B31" s="1"/>
      <c r="C31" s="1">
        <v>11782675</v>
      </c>
      <c r="D31" s="1" t="s">
        <v>102</v>
      </c>
      <c r="E31" s="4">
        <v>37352</v>
      </c>
      <c r="F31" s="1" t="s">
        <v>71</v>
      </c>
      <c r="G31" s="1">
        <v>90</v>
      </c>
      <c r="H31" s="1">
        <v>41</v>
      </c>
      <c r="I31" s="1" t="s">
        <v>16</v>
      </c>
      <c r="J31" s="1">
        <v>10</v>
      </c>
      <c r="K31" s="1">
        <v>2</v>
      </c>
      <c r="L31" s="1" t="s">
        <v>56</v>
      </c>
      <c r="M31" s="1" t="s">
        <v>72</v>
      </c>
      <c r="N31" s="1">
        <v>5</v>
      </c>
    </row>
    <row r="32" customHeight="1" spans="1:14">
      <c r="A32" s="3">
        <v>44063.7164515625</v>
      </c>
      <c r="B32" s="1"/>
      <c r="C32" s="1">
        <v>9389511</v>
      </c>
      <c r="D32" s="1" t="s">
        <v>103</v>
      </c>
      <c r="E32" s="4">
        <v>34544</v>
      </c>
      <c r="F32" s="1" t="s">
        <v>104</v>
      </c>
      <c r="G32" s="1">
        <v>85</v>
      </c>
      <c r="H32" s="1">
        <v>39</v>
      </c>
      <c r="I32" s="1" t="s">
        <v>22</v>
      </c>
      <c r="J32" s="1">
        <v>0</v>
      </c>
      <c r="K32" s="1">
        <v>1</v>
      </c>
      <c r="L32" s="1" t="s">
        <v>105</v>
      </c>
      <c r="M32" s="1" t="s">
        <v>106</v>
      </c>
      <c r="N32" s="1">
        <v>5</v>
      </c>
    </row>
    <row r="33" customHeight="1" spans="1:14">
      <c r="A33" s="3">
        <v>44063.7422711227</v>
      </c>
      <c r="B33" s="1"/>
      <c r="C33" s="1">
        <v>11782442</v>
      </c>
      <c r="D33" s="1" t="s">
        <v>107</v>
      </c>
      <c r="E33" s="4">
        <v>36829</v>
      </c>
      <c r="F33" s="1" t="s">
        <v>66</v>
      </c>
      <c r="G33" s="1">
        <v>80</v>
      </c>
      <c r="H33" s="1">
        <v>41</v>
      </c>
      <c r="I33" s="1" t="s">
        <v>16</v>
      </c>
      <c r="J33" s="1">
        <v>15</v>
      </c>
      <c r="K33" s="1">
        <v>4</v>
      </c>
      <c r="L33" s="1" t="s">
        <v>31</v>
      </c>
      <c r="M33" s="1" t="s">
        <v>50</v>
      </c>
      <c r="N33" s="1">
        <v>13</v>
      </c>
    </row>
    <row r="34" customHeight="1" spans="1:14">
      <c r="A34" s="3">
        <v>44063.7455357176</v>
      </c>
      <c r="B34" s="1"/>
      <c r="C34" s="1">
        <v>11908545</v>
      </c>
      <c r="D34" s="1" t="s">
        <v>108</v>
      </c>
      <c r="E34" s="4">
        <v>37375</v>
      </c>
      <c r="F34" s="1" t="s">
        <v>30</v>
      </c>
      <c r="G34" s="1">
        <v>90</v>
      </c>
      <c r="H34" s="1">
        <v>41</v>
      </c>
      <c r="I34" s="1" t="s">
        <v>16</v>
      </c>
      <c r="J34" s="1">
        <v>10</v>
      </c>
      <c r="K34" s="1">
        <v>3</v>
      </c>
      <c r="L34" s="1" t="s">
        <v>56</v>
      </c>
      <c r="M34" s="1" t="s">
        <v>89</v>
      </c>
      <c r="N34" s="1">
        <v>5</v>
      </c>
    </row>
    <row r="35" customHeight="1" spans="1:14">
      <c r="A35" s="3">
        <v>44063.789441794</v>
      </c>
      <c r="B35" s="1"/>
      <c r="C35" s="1">
        <v>10882229</v>
      </c>
      <c r="D35" s="1" t="s">
        <v>109</v>
      </c>
      <c r="E35" s="4">
        <v>36213</v>
      </c>
      <c r="F35" s="1" t="s">
        <v>61</v>
      </c>
      <c r="G35" s="1">
        <v>55</v>
      </c>
      <c r="H35" s="1">
        <v>40</v>
      </c>
      <c r="I35" s="1" t="s">
        <v>16</v>
      </c>
      <c r="J35" s="1">
        <v>14</v>
      </c>
      <c r="K35" s="1">
        <v>3</v>
      </c>
      <c r="L35" s="1" t="s">
        <v>49</v>
      </c>
      <c r="M35" s="1" t="s">
        <v>89</v>
      </c>
      <c r="N35" s="1">
        <v>48</v>
      </c>
    </row>
    <row r="36" customHeight="1" spans="1:14">
      <c r="A36" s="3">
        <v>44063.792327037</v>
      </c>
      <c r="B36" s="1"/>
      <c r="C36" s="1">
        <v>11782459</v>
      </c>
      <c r="D36" s="1" t="s">
        <v>110</v>
      </c>
      <c r="E36" s="4">
        <v>37251</v>
      </c>
      <c r="F36" s="1" t="s">
        <v>66</v>
      </c>
      <c r="G36" s="1">
        <v>100</v>
      </c>
      <c r="H36" s="1">
        <v>42</v>
      </c>
      <c r="I36" s="1" t="s">
        <v>16</v>
      </c>
      <c r="J36" s="1">
        <v>0</v>
      </c>
      <c r="K36" s="1">
        <v>2</v>
      </c>
      <c r="L36" s="1" t="s">
        <v>69</v>
      </c>
      <c r="M36" s="1" t="s">
        <v>101</v>
      </c>
      <c r="N36" s="1">
        <v>3</v>
      </c>
    </row>
    <row r="37" customHeight="1" spans="1:14">
      <c r="A37" s="3">
        <v>44063.8146174306</v>
      </c>
      <c r="B37" s="1"/>
      <c r="C37" s="1">
        <v>9922418</v>
      </c>
      <c r="D37" s="1" t="s">
        <v>111</v>
      </c>
      <c r="E37" s="4">
        <v>35901</v>
      </c>
      <c r="F37" s="1" t="s">
        <v>71</v>
      </c>
      <c r="G37" s="1">
        <v>72</v>
      </c>
      <c r="H37" s="1">
        <v>41</v>
      </c>
      <c r="I37" s="1" t="s">
        <v>16</v>
      </c>
      <c r="J37" s="1">
        <v>12</v>
      </c>
      <c r="K37" s="1">
        <v>4</v>
      </c>
      <c r="L37" s="1" t="s">
        <v>31</v>
      </c>
      <c r="M37" s="1" t="s">
        <v>42</v>
      </c>
      <c r="N37" s="1">
        <v>21</v>
      </c>
    </row>
    <row r="38" customHeight="1" spans="1:14">
      <c r="A38" s="3">
        <v>44063.8150967708</v>
      </c>
      <c r="B38" s="1"/>
      <c r="C38" s="1">
        <v>11837689</v>
      </c>
      <c r="D38" s="1" t="s">
        <v>112</v>
      </c>
      <c r="E38" s="4">
        <v>37207</v>
      </c>
      <c r="F38" s="1" t="s">
        <v>113</v>
      </c>
      <c r="G38" s="1">
        <v>59</v>
      </c>
      <c r="H38" s="1">
        <v>37</v>
      </c>
      <c r="I38" s="1" t="s">
        <v>22</v>
      </c>
      <c r="J38" s="1">
        <v>1</v>
      </c>
      <c r="K38" s="1">
        <v>1</v>
      </c>
      <c r="L38" s="1" t="s">
        <v>49</v>
      </c>
      <c r="M38" s="1" t="s">
        <v>72</v>
      </c>
      <c r="N38" s="1">
        <v>5</v>
      </c>
    </row>
    <row r="39" customHeight="1" spans="1:14">
      <c r="A39" s="3">
        <v>44063.8158073727</v>
      </c>
      <c r="B39" s="1"/>
      <c r="C39" s="1">
        <v>10797760</v>
      </c>
      <c r="D39" s="1" t="s">
        <v>114</v>
      </c>
      <c r="E39" s="4">
        <v>34408</v>
      </c>
      <c r="F39" s="1" t="s">
        <v>115</v>
      </c>
      <c r="G39" s="1">
        <v>67</v>
      </c>
      <c r="H39" s="1">
        <v>41</v>
      </c>
      <c r="I39" s="1" t="s">
        <v>16</v>
      </c>
      <c r="J39" s="1">
        <v>20</v>
      </c>
      <c r="K39" s="1">
        <v>3</v>
      </c>
      <c r="L39" s="1" t="s">
        <v>116</v>
      </c>
      <c r="M39" s="1" t="s">
        <v>117</v>
      </c>
      <c r="N39" s="1">
        <v>17</v>
      </c>
    </row>
    <row r="40" customHeight="1" spans="1:14">
      <c r="A40" s="3">
        <v>44063.8214400232</v>
      </c>
      <c r="B40" s="1"/>
      <c r="C40" s="1">
        <v>11895312</v>
      </c>
      <c r="D40" s="1" t="s">
        <v>118</v>
      </c>
      <c r="E40" s="4">
        <v>35179</v>
      </c>
      <c r="F40" s="1" t="s">
        <v>48</v>
      </c>
      <c r="G40" s="1">
        <v>104</v>
      </c>
      <c r="H40" s="1">
        <v>44</v>
      </c>
      <c r="I40" s="1" t="s">
        <v>16</v>
      </c>
      <c r="J40" s="1">
        <v>2</v>
      </c>
      <c r="K40" s="1">
        <v>1</v>
      </c>
      <c r="L40" s="1" t="s">
        <v>119</v>
      </c>
      <c r="M40" s="1" t="s">
        <v>120</v>
      </c>
      <c r="N40" s="1">
        <v>3</v>
      </c>
    </row>
    <row r="41" customHeight="1" spans="1:14">
      <c r="A41" s="3">
        <v>44063.8398144329</v>
      </c>
      <c r="B41" s="1"/>
      <c r="C41" s="1">
        <v>11954075</v>
      </c>
      <c r="D41" s="1" t="s">
        <v>121</v>
      </c>
      <c r="E41" s="4">
        <v>37036</v>
      </c>
      <c r="F41" s="1" t="s">
        <v>122</v>
      </c>
      <c r="G41" s="1">
        <v>50</v>
      </c>
      <c r="H41" s="1">
        <v>36</v>
      </c>
      <c r="I41" s="1" t="s">
        <v>22</v>
      </c>
      <c r="J41" s="1">
        <v>2</v>
      </c>
      <c r="K41" s="1">
        <v>3</v>
      </c>
      <c r="L41" s="1" t="s">
        <v>35</v>
      </c>
      <c r="M41" s="1" t="s">
        <v>72</v>
      </c>
      <c r="N41" s="1">
        <v>3</v>
      </c>
    </row>
    <row r="42" customHeight="1" spans="1:14">
      <c r="A42" s="3">
        <v>44063.8385061574</v>
      </c>
      <c r="B42" s="1"/>
      <c r="C42" s="1">
        <v>11782654</v>
      </c>
      <c r="D42" s="1" t="s">
        <v>123</v>
      </c>
      <c r="E42" s="4">
        <v>36762</v>
      </c>
      <c r="F42" s="1" t="s">
        <v>48</v>
      </c>
      <c r="G42" s="1">
        <v>75</v>
      </c>
      <c r="H42" s="1">
        <v>41</v>
      </c>
      <c r="I42" s="1" t="s">
        <v>16</v>
      </c>
      <c r="J42" s="1">
        <v>0</v>
      </c>
      <c r="K42" s="1">
        <v>1</v>
      </c>
      <c r="L42" s="1" t="s">
        <v>124</v>
      </c>
      <c r="M42" s="1" t="s">
        <v>125</v>
      </c>
      <c r="N42" s="1">
        <v>2</v>
      </c>
    </row>
    <row r="43" customHeight="1" spans="1:14">
      <c r="A43" s="3">
        <v>44063.8652316898</v>
      </c>
      <c r="B43" s="1"/>
      <c r="C43" s="1">
        <v>11839184</v>
      </c>
      <c r="D43" s="1" t="s">
        <v>126</v>
      </c>
      <c r="E43" s="4">
        <v>37532</v>
      </c>
      <c r="F43" s="1" t="s">
        <v>94</v>
      </c>
      <c r="G43" s="1">
        <v>50</v>
      </c>
      <c r="H43" s="1">
        <v>37</v>
      </c>
      <c r="I43" s="1" t="s">
        <v>22</v>
      </c>
      <c r="J43" s="1">
        <v>0</v>
      </c>
      <c r="K43" s="1">
        <v>1</v>
      </c>
      <c r="L43" s="1" t="s">
        <v>17</v>
      </c>
      <c r="M43" s="1" t="s">
        <v>125</v>
      </c>
      <c r="N43" s="1">
        <v>2</v>
      </c>
    </row>
    <row r="44" customHeight="1" spans="1:14">
      <c r="A44" s="3">
        <v>44063.8810137269</v>
      </c>
      <c r="B44" s="1"/>
      <c r="C44" s="1">
        <v>11917692</v>
      </c>
      <c r="D44" s="1" t="s">
        <v>127</v>
      </c>
      <c r="E44" s="4">
        <v>37027</v>
      </c>
      <c r="F44" s="1" t="s">
        <v>61</v>
      </c>
      <c r="G44" s="1">
        <v>62</v>
      </c>
      <c r="H44" s="1">
        <v>38</v>
      </c>
      <c r="I44" s="1" t="s">
        <v>22</v>
      </c>
      <c r="J44" s="1">
        <v>3</v>
      </c>
      <c r="K44" s="1">
        <v>2</v>
      </c>
      <c r="L44" s="1" t="s">
        <v>49</v>
      </c>
      <c r="M44" s="1" t="s">
        <v>106</v>
      </c>
      <c r="N44" s="1">
        <v>11</v>
      </c>
    </row>
    <row r="45" customHeight="1" spans="1:14">
      <c r="A45" s="3">
        <v>44063.8822031829</v>
      </c>
      <c r="B45" s="1"/>
      <c r="C45" s="1">
        <v>11782376</v>
      </c>
      <c r="D45" s="1" t="s">
        <v>128</v>
      </c>
      <c r="E45" s="4">
        <v>37246</v>
      </c>
      <c r="F45" s="1" t="s">
        <v>100</v>
      </c>
      <c r="G45" s="1">
        <v>68</v>
      </c>
      <c r="H45" s="1">
        <v>39</v>
      </c>
      <c r="I45" s="1" t="s">
        <v>22</v>
      </c>
      <c r="J45" s="1">
        <v>0</v>
      </c>
      <c r="K45" s="1">
        <v>2</v>
      </c>
      <c r="L45" s="1" t="s">
        <v>56</v>
      </c>
      <c r="M45" s="1" t="s">
        <v>50</v>
      </c>
      <c r="N45" s="1">
        <v>9</v>
      </c>
    </row>
    <row r="46" customHeight="1" spans="1:14">
      <c r="A46" s="3">
        <v>44063.887771956</v>
      </c>
      <c r="B46" s="1"/>
      <c r="C46" s="1">
        <v>11782484</v>
      </c>
      <c r="D46" s="1" t="s">
        <v>129</v>
      </c>
      <c r="E46" s="4">
        <v>37313</v>
      </c>
      <c r="F46" s="1" t="s">
        <v>130</v>
      </c>
      <c r="G46" s="1">
        <v>102</v>
      </c>
      <c r="H46" s="1">
        <v>43</v>
      </c>
      <c r="I46" s="1" t="s">
        <v>16</v>
      </c>
      <c r="J46" s="1">
        <v>4</v>
      </c>
      <c r="K46" s="1">
        <v>2</v>
      </c>
      <c r="L46" s="1" t="s">
        <v>56</v>
      </c>
      <c r="M46" s="1" t="s">
        <v>131</v>
      </c>
      <c r="N46" s="1">
        <v>4</v>
      </c>
    </row>
    <row r="47" customHeight="1" spans="1:14">
      <c r="A47" s="3">
        <v>44063.9259073148</v>
      </c>
      <c r="B47" s="1"/>
      <c r="C47" s="1">
        <v>8003237</v>
      </c>
      <c r="D47" s="1" t="s">
        <v>132</v>
      </c>
      <c r="E47" s="4">
        <v>34782</v>
      </c>
      <c r="F47" s="1" t="s">
        <v>133</v>
      </c>
      <c r="G47" s="1">
        <v>70</v>
      </c>
      <c r="H47" s="1">
        <v>36</v>
      </c>
      <c r="I47" s="1" t="s">
        <v>22</v>
      </c>
      <c r="J47" s="1">
        <v>0</v>
      </c>
      <c r="K47" s="1">
        <v>5</v>
      </c>
      <c r="L47" s="1" t="s">
        <v>17</v>
      </c>
      <c r="M47" s="1" t="s">
        <v>134</v>
      </c>
      <c r="N47" s="1">
        <v>3</v>
      </c>
    </row>
    <row r="48" customHeight="1" spans="1:14">
      <c r="A48" s="3">
        <v>44063.9431959606</v>
      </c>
      <c r="B48" s="1"/>
      <c r="C48" s="1">
        <v>11846992</v>
      </c>
      <c r="D48" s="1" t="s">
        <v>135</v>
      </c>
      <c r="E48" s="4">
        <v>36950</v>
      </c>
      <c r="F48" s="1" t="s">
        <v>34</v>
      </c>
      <c r="G48" s="1">
        <v>57</v>
      </c>
      <c r="H48" s="1">
        <v>35</v>
      </c>
      <c r="I48" s="1" t="s">
        <v>22</v>
      </c>
      <c r="J48" s="1">
        <v>0</v>
      </c>
      <c r="K48" s="1">
        <v>5</v>
      </c>
      <c r="L48" s="1" t="s">
        <v>49</v>
      </c>
      <c r="M48" s="1" t="s">
        <v>136</v>
      </c>
      <c r="N48" s="1">
        <v>3</v>
      </c>
    </row>
    <row r="49" customHeight="1" spans="1:14">
      <c r="A49" s="3">
        <v>44063.9685366551</v>
      </c>
      <c r="B49" s="1"/>
      <c r="C49" s="1">
        <v>11368575</v>
      </c>
      <c r="D49" s="1" t="s">
        <v>137</v>
      </c>
      <c r="E49" s="4">
        <v>36550</v>
      </c>
      <c r="F49" s="1" t="s">
        <v>68</v>
      </c>
      <c r="G49" s="1">
        <v>68</v>
      </c>
      <c r="H49" s="1">
        <v>37</v>
      </c>
      <c r="I49" s="1" t="s">
        <v>22</v>
      </c>
      <c r="J49" s="1">
        <v>6</v>
      </c>
      <c r="K49" s="1"/>
      <c r="L49" s="1" t="s">
        <v>138</v>
      </c>
      <c r="M49" s="1" t="s">
        <v>72</v>
      </c>
      <c r="N49" s="1">
        <v>9</v>
      </c>
    </row>
    <row r="50" customHeight="1" spans="1:14">
      <c r="A50" s="3">
        <v>44063.9811030093</v>
      </c>
      <c r="B50" s="1"/>
      <c r="C50" s="1">
        <v>11782661</v>
      </c>
      <c r="D50" s="1" t="s">
        <v>139</v>
      </c>
      <c r="E50" s="4">
        <v>37211</v>
      </c>
      <c r="F50" s="1" t="s">
        <v>82</v>
      </c>
      <c r="G50" s="1">
        <v>79</v>
      </c>
      <c r="H50" s="1">
        <v>42</v>
      </c>
      <c r="I50" s="1" t="s">
        <v>16</v>
      </c>
      <c r="J50" s="1">
        <v>1</v>
      </c>
      <c r="K50" s="1"/>
      <c r="L50" s="1" t="s">
        <v>31</v>
      </c>
      <c r="M50" s="1" t="s">
        <v>140</v>
      </c>
      <c r="N50" s="1">
        <v>5</v>
      </c>
    </row>
    <row r="51" customHeight="1" spans="1:14">
      <c r="A51" s="3">
        <v>44063.9917671181</v>
      </c>
      <c r="B51" s="1"/>
      <c r="C51" s="1">
        <v>11782567</v>
      </c>
      <c r="D51" s="1" t="s">
        <v>141</v>
      </c>
      <c r="E51" s="4">
        <v>37420</v>
      </c>
      <c r="F51" s="1" t="s">
        <v>78</v>
      </c>
      <c r="G51" s="1">
        <v>62</v>
      </c>
      <c r="H51" s="1">
        <v>37</v>
      </c>
      <c r="I51" s="1" t="s">
        <v>22</v>
      </c>
      <c r="J51" s="1">
        <v>1</v>
      </c>
      <c r="K51" s="1"/>
      <c r="L51" s="1" t="s">
        <v>31</v>
      </c>
      <c r="M51" s="1" t="s">
        <v>50</v>
      </c>
      <c r="N51" s="1">
        <v>10</v>
      </c>
    </row>
    <row r="52" customHeight="1" spans="1:14">
      <c r="A52" s="3">
        <v>44064.0683823495</v>
      </c>
      <c r="B52" s="1"/>
      <c r="C52" s="1">
        <v>11855679</v>
      </c>
      <c r="D52" s="1" t="s">
        <v>142</v>
      </c>
      <c r="E52" s="4">
        <v>37386</v>
      </c>
      <c r="F52" s="1" t="s">
        <v>143</v>
      </c>
      <c r="G52" s="1">
        <v>72</v>
      </c>
      <c r="H52" s="1">
        <v>40</v>
      </c>
      <c r="I52" s="1" t="s">
        <v>16</v>
      </c>
      <c r="J52" s="1">
        <v>9</v>
      </c>
      <c r="K52" s="1"/>
      <c r="L52" s="1" t="s">
        <v>144</v>
      </c>
      <c r="M52" s="1" t="s">
        <v>42</v>
      </c>
      <c r="N52" s="1">
        <v>33</v>
      </c>
    </row>
    <row r="53" customHeight="1" spans="1:14">
      <c r="A53" s="3">
        <v>44064.3441413889</v>
      </c>
      <c r="B53" s="1"/>
      <c r="C53" s="1">
        <v>11847965</v>
      </c>
      <c r="D53" s="1" t="s">
        <v>145</v>
      </c>
      <c r="E53" s="4">
        <v>37112</v>
      </c>
      <c r="F53" s="1" t="s">
        <v>82</v>
      </c>
      <c r="G53" s="1">
        <v>59</v>
      </c>
      <c r="H53" s="1">
        <v>40</v>
      </c>
      <c r="I53" s="1" t="s">
        <v>16</v>
      </c>
      <c r="J53" s="1">
        <v>13</v>
      </c>
      <c r="K53" s="1"/>
      <c r="L53" s="1" t="s">
        <v>56</v>
      </c>
      <c r="M53" s="1" t="s">
        <v>146</v>
      </c>
      <c r="N53" s="1">
        <v>8</v>
      </c>
    </row>
    <row r="54" customHeight="1" spans="1:14">
      <c r="A54" s="3">
        <v>44064.3466384144</v>
      </c>
      <c r="B54" s="1"/>
      <c r="C54" s="1">
        <v>11440238</v>
      </c>
      <c r="D54" s="1" t="s">
        <v>147</v>
      </c>
      <c r="E54" s="4">
        <v>37296</v>
      </c>
      <c r="F54" s="1" t="s">
        <v>148</v>
      </c>
      <c r="G54" s="1">
        <v>77</v>
      </c>
      <c r="H54" s="1">
        <v>41</v>
      </c>
      <c r="I54" s="1" t="s">
        <v>16</v>
      </c>
      <c r="J54" s="1">
        <v>5</v>
      </c>
      <c r="K54" s="1"/>
      <c r="L54" s="1" t="s">
        <v>31</v>
      </c>
      <c r="M54" s="1" t="s">
        <v>50</v>
      </c>
      <c r="N54" s="1">
        <v>13</v>
      </c>
    </row>
    <row r="55" customHeight="1" spans="1:14">
      <c r="A55" s="3">
        <v>44064.354568125</v>
      </c>
      <c r="B55" s="1"/>
      <c r="C55" s="1">
        <v>11782380</v>
      </c>
      <c r="D55" s="1" t="s">
        <v>149</v>
      </c>
      <c r="E55" s="4">
        <v>37452</v>
      </c>
      <c r="F55" s="1" t="s">
        <v>94</v>
      </c>
      <c r="G55" s="1" t="s">
        <v>150</v>
      </c>
      <c r="H55" s="1">
        <v>38</v>
      </c>
      <c r="I55" s="1" t="s">
        <v>16</v>
      </c>
      <c r="J55" s="1">
        <v>0</v>
      </c>
      <c r="K55" s="1"/>
      <c r="L55" s="1" t="s">
        <v>151</v>
      </c>
      <c r="M55" s="1" t="s">
        <v>152</v>
      </c>
      <c r="N55" s="1">
        <v>4</v>
      </c>
    </row>
    <row r="56" customHeight="1" spans="1:14">
      <c r="A56" s="3">
        <v>44064.354772963</v>
      </c>
      <c r="B56" s="1"/>
      <c r="C56" s="1">
        <v>11818170</v>
      </c>
      <c r="D56" s="1" t="s">
        <v>153</v>
      </c>
      <c r="E56" s="4">
        <v>36490</v>
      </c>
      <c r="F56" s="1" t="s">
        <v>30</v>
      </c>
      <c r="G56" s="1">
        <v>64</v>
      </c>
      <c r="H56" s="1">
        <v>39</v>
      </c>
      <c r="I56" s="1" t="s">
        <v>16</v>
      </c>
      <c r="J56" s="1">
        <v>15</v>
      </c>
      <c r="K56" s="1"/>
      <c r="L56" s="1" t="s">
        <v>49</v>
      </c>
      <c r="M56" s="1" t="s">
        <v>50</v>
      </c>
      <c r="N56" s="1">
        <v>8</v>
      </c>
    </row>
    <row r="57" customHeight="1" spans="1:14">
      <c r="A57" s="3">
        <v>44064.3622558102</v>
      </c>
      <c r="B57" s="1"/>
      <c r="C57" s="1">
        <v>11782397</v>
      </c>
      <c r="D57" s="1" t="s">
        <v>154</v>
      </c>
      <c r="E57" s="4">
        <v>37054</v>
      </c>
      <c r="F57" s="1" t="s">
        <v>76</v>
      </c>
      <c r="G57" s="1">
        <v>75</v>
      </c>
      <c r="H57" s="1">
        <v>41</v>
      </c>
      <c r="I57" s="1" t="s">
        <v>16</v>
      </c>
      <c r="J57" s="1">
        <v>4</v>
      </c>
      <c r="K57" s="1"/>
      <c r="L57" s="1" t="s">
        <v>98</v>
      </c>
      <c r="M57" s="1" t="s">
        <v>64</v>
      </c>
      <c r="N57" s="1">
        <v>6</v>
      </c>
    </row>
    <row r="58" customHeight="1" spans="1:14">
      <c r="A58" s="3">
        <v>44064.3707571065</v>
      </c>
      <c r="B58" s="1"/>
      <c r="C58" s="1">
        <v>11782546</v>
      </c>
      <c r="D58" s="1" t="s">
        <v>155</v>
      </c>
      <c r="E58" s="4">
        <v>35711</v>
      </c>
      <c r="F58" s="1" t="s">
        <v>38</v>
      </c>
      <c r="G58" s="1">
        <v>115</v>
      </c>
      <c r="H58" s="1">
        <v>48</v>
      </c>
      <c r="I58" s="1" t="s">
        <v>16</v>
      </c>
      <c r="J58" s="1">
        <v>0</v>
      </c>
      <c r="K58" s="1"/>
      <c r="L58" s="1" t="s">
        <v>35</v>
      </c>
      <c r="M58" s="1" t="s">
        <v>101</v>
      </c>
      <c r="N58" s="1">
        <v>3</v>
      </c>
    </row>
    <row r="59" customHeight="1" spans="1:14">
      <c r="A59" s="3">
        <v>44064.3710918056</v>
      </c>
      <c r="B59" s="1"/>
      <c r="C59" s="1">
        <v>11254644</v>
      </c>
      <c r="D59" s="1" t="s">
        <v>156</v>
      </c>
      <c r="E59" s="4">
        <v>37441</v>
      </c>
      <c r="F59" s="1" t="s">
        <v>76</v>
      </c>
      <c r="G59" s="1">
        <v>90</v>
      </c>
      <c r="H59" s="1">
        <v>42</v>
      </c>
      <c r="I59" s="1" t="s">
        <v>16</v>
      </c>
      <c r="J59" s="1">
        <v>3</v>
      </c>
      <c r="K59" s="1"/>
      <c r="L59" s="1" t="s">
        <v>31</v>
      </c>
      <c r="M59" s="1" t="s">
        <v>101</v>
      </c>
      <c r="N59" s="1">
        <v>5</v>
      </c>
    </row>
    <row r="60" customHeight="1" spans="1:14">
      <c r="A60" s="3">
        <v>44064.3721186574</v>
      </c>
      <c r="B60" s="1"/>
      <c r="C60" s="1">
        <v>11894836</v>
      </c>
      <c r="D60" s="1" t="s">
        <v>157</v>
      </c>
      <c r="E60" s="4">
        <v>34729</v>
      </c>
      <c r="F60" s="1" t="s">
        <v>26</v>
      </c>
      <c r="G60" s="1">
        <v>55</v>
      </c>
      <c r="H60" s="1">
        <v>36</v>
      </c>
      <c r="I60" s="1" t="s">
        <v>22</v>
      </c>
      <c r="J60" s="1">
        <v>0</v>
      </c>
      <c r="K60" s="1"/>
      <c r="L60" s="1" t="s">
        <v>56</v>
      </c>
      <c r="M60" s="1" t="s">
        <v>158</v>
      </c>
      <c r="N60" s="1">
        <v>5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59"/>
  <sheetViews>
    <sheetView workbookViewId="0">
      <selection activeCell="A1" sqref="A1"/>
    </sheetView>
  </sheetViews>
  <sheetFormatPr defaultColWidth="14.4285714285714" defaultRowHeight="15.75" customHeight="1"/>
  <cols>
    <col min="5" max="6" width="22.7142857142857" customWidth="1"/>
  </cols>
  <sheetData>
    <row r="1" customHeight="1" spans="1:17">
      <c r="A1" s="1">
        <v>1</v>
      </c>
      <c r="B1" s="2">
        <f>'Respostas ao formulário 1'!N2</f>
        <v>5</v>
      </c>
      <c r="C1" s="1">
        <v>27</v>
      </c>
      <c r="D1" s="2">
        <v>0</v>
      </c>
      <c r="E1" s="1" t="s">
        <v>159</v>
      </c>
      <c r="F1" s="1" t="s">
        <v>160</v>
      </c>
      <c r="G1" s="2">
        <f>COUNTA(B:B)</f>
        <v>59</v>
      </c>
      <c r="L1" s="1" t="s">
        <v>161</v>
      </c>
      <c r="M1" s="1" t="s">
        <v>162</v>
      </c>
      <c r="N1" s="1" t="s">
        <v>163</v>
      </c>
      <c r="P1" s="1" t="s">
        <v>164</v>
      </c>
      <c r="Q1" s="1" t="s">
        <v>165</v>
      </c>
    </row>
    <row r="2" customHeight="1" spans="1:17">
      <c r="A2" s="1">
        <v>2</v>
      </c>
      <c r="B2" s="2">
        <f>'Respostas ao formulário 1'!N3</f>
        <v>2</v>
      </c>
      <c r="C2" s="1">
        <v>3</v>
      </c>
      <c r="D2" s="2">
        <v>1</v>
      </c>
      <c r="E2" s="1" t="s">
        <v>166</v>
      </c>
      <c r="F2" s="1" t="s">
        <v>167</v>
      </c>
      <c r="G2" s="2">
        <f>SQRT(G1)</f>
        <v>7.68114574786861</v>
      </c>
      <c r="H2" s="1">
        <f>ROUND(G2,0)</f>
        <v>8</v>
      </c>
      <c r="P2" s="2">
        <f>-0.049</f>
        <v>-0.049</v>
      </c>
      <c r="Q2" s="1">
        <v>6</v>
      </c>
    </row>
    <row r="3" customHeight="1" spans="1:17">
      <c r="A3" s="1">
        <v>3</v>
      </c>
      <c r="B3" s="2">
        <f>'Respostas ao formulário 1'!N4</f>
        <v>1</v>
      </c>
      <c r="C3" s="1">
        <v>2</v>
      </c>
      <c r="D3" s="2">
        <v>2</v>
      </c>
      <c r="E3" s="1" t="s">
        <v>168</v>
      </c>
      <c r="F3" s="1" t="s">
        <v>169</v>
      </c>
      <c r="G3" s="2">
        <f>LARGE(B:B,1)-SMALL(B:B,1)</f>
        <v>48</v>
      </c>
      <c r="P3" s="1">
        <v>6</v>
      </c>
      <c r="Q3" s="1">
        <v>12</v>
      </c>
    </row>
    <row r="4" customHeight="1" spans="1:17">
      <c r="A4" s="1">
        <v>4</v>
      </c>
      <c r="B4" s="2">
        <f>'Respostas ao formulário 1'!N5</f>
        <v>5</v>
      </c>
      <c r="C4" s="1">
        <v>10</v>
      </c>
      <c r="D4" s="2">
        <v>2</v>
      </c>
      <c r="E4" s="1" t="s">
        <v>170</v>
      </c>
      <c r="G4" s="2">
        <f>G3/G2</f>
        <v>6.24906772707955</v>
      </c>
      <c r="H4" s="2">
        <f>ROUND(G4,0)</f>
        <v>6</v>
      </c>
      <c r="I4" s="2">
        <f>H2*H4</f>
        <v>48</v>
      </c>
      <c r="J4" s="2">
        <f>H2*H4+1</f>
        <v>49</v>
      </c>
      <c r="P4" s="1">
        <v>12</v>
      </c>
      <c r="Q4" s="1">
        <v>18</v>
      </c>
    </row>
    <row r="5" customHeight="1" spans="1:17">
      <c r="A5" s="1">
        <v>5</v>
      </c>
      <c r="B5" s="2">
        <f>'Respostas ao formulário 1'!N6</f>
        <v>3</v>
      </c>
      <c r="C5" s="1">
        <v>12</v>
      </c>
      <c r="D5" s="2">
        <v>2</v>
      </c>
      <c r="P5" s="1">
        <v>18</v>
      </c>
      <c r="Q5" s="1">
        <v>24</v>
      </c>
    </row>
    <row r="6" customHeight="1" spans="1:17">
      <c r="A6" s="1">
        <v>6</v>
      </c>
      <c r="B6" s="2">
        <f>'Respostas ao formulário 1'!N7</f>
        <v>3</v>
      </c>
      <c r="C6" s="1">
        <v>29</v>
      </c>
      <c r="D6" s="2">
        <v>2</v>
      </c>
      <c r="P6" s="1">
        <v>24</v>
      </c>
      <c r="Q6" s="1">
        <v>30</v>
      </c>
    </row>
    <row r="7" customHeight="1" spans="1:17">
      <c r="A7" s="1">
        <v>7</v>
      </c>
      <c r="B7" s="2">
        <f>'Respostas ao formulário 1'!N8</f>
        <v>14</v>
      </c>
      <c r="C7" s="1">
        <v>41</v>
      </c>
      <c r="D7" s="2">
        <v>2</v>
      </c>
      <c r="P7" s="1">
        <v>30</v>
      </c>
      <c r="Q7" s="1">
        <v>36</v>
      </c>
    </row>
    <row r="8" customHeight="1" spans="1:17">
      <c r="A8" s="1">
        <v>8</v>
      </c>
      <c r="B8" s="2">
        <f>'Respostas ao formulário 1'!N9</f>
        <v>3</v>
      </c>
      <c r="C8" s="1">
        <v>42</v>
      </c>
      <c r="D8" s="2">
        <v>2</v>
      </c>
      <c r="P8" s="1">
        <v>36</v>
      </c>
      <c r="Q8" s="1">
        <v>42</v>
      </c>
    </row>
    <row r="9" customHeight="1" spans="1:17">
      <c r="A9" s="1">
        <v>9</v>
      </c>
      <c r="B9" s="2">
        <f>'Respostas ao formulário 1'!N10</f>
        <v>36</v>
      </c>
      <c r="C9" s="1">
        <v>5</v>
      </c>
      <c r="D9" s="2">
        <v>3</v>
      </c>
      <c r="P9" s="1">
        <v>42</v>
      </c>
      <c r="Q9" s="1">
        <v>48</v>
      </c>
    </row>
    <row r="10" customHeight="1" spans="1:4">
      <c r="A10" s="1">
        <v>10</v>
      </c>
      <c r="B10" s="2">
        <f>'Respostas ao formulário 1'!N11</f>
        <v>2</v>
      </c>
      <c r="C10" s="1">
        <v>6</v>
      </c>
      <c r="D10" s="2">
        <v>3</v>
      </c>
    </row>
    <row r="11" customHeight="1" spans="1:4">
      <c r="A11" s="1">
        <v>11</v>
      </c>
      <c r="B11" s="2">
        <f>'Respostas ao formulário 1'!N12</f>
        <v>6</v>
      </c>
      <c r="C11" s="1">
        <v>8</v>
      </c>
      <c r="D11" s="2">
        <v>3</v>
      </c>
    </row>
    <row r="12" customHeight="1" spans="1:4">
      <c r="A12" s="1">
        <v>12</v>
      </c>
      <c r="B12" s="2">
        <f>'Respostas ao formulário 1'!N13</f>
        <v>2</v>
      </c>
      <c r="C12" s="1">
        <v>16</v>
      </c>
      <c r="D12" s="2">
        <v>3</v>
      </c>
    </row>
    <row r="13" customHeight="1" spans="1:4">
      <c r="A13" s="1">
        <v>13</v>
      </c>
      <c r="B13" s="2">
        <f>'Respostas ao formulário 1'!N14</f>
        <v>5</v>
      </c>
      <c r="C13" s="1">
        <v>35</v>
      </c>
      <c r="D13" s="2">
        <v>3</v>
      </c>
    </row>
    <row r="14" customHeight="1" spans="1:13">
      <c r="A14" s="1">
        <v>14</v>
      </c>
      <c r="B14" s="2">
        <f>'Respostas ao formulário 1'!N15</f>
        <v>30</v>
      </c>
      <c r="C14" s="1">
        <v>39</v>
      </c>
      <c r="D14" s="2">
        <v>3</v>
      </c>
      <c r="M14" s="2">
        <f t="array" ref="M14:M30">FREQUENCY(C1:C59,P2:Q9)</f>
        <v>0</v>
      </c>
    </row>
    <row r="15" customHeight="1" spans="1:13">
      <c r="A15" s="1">
        <v>15</v>
      </c>
      <c r="B15" s="2">
        <f>'Respostas ao formulário 1'!N16</f>
        <v>14</v>
      </c>
      <c r="C15" s="1">
        <v>40</v>
      </c>
      <c r="D15" s="2">
        <v>3</v>
      </c>
      <c r="M15" s="2">
        <v>6</v>
      </c>
    </row>
    <row r="16" customHeight="1" spans="1:13">
      <c r="A16" s="1">
        <v>16</v>
      </c>
      <c r="B16" s="2">
        <f>'Respostas ao formulário 1'!N17</f>
        <v>3</v>
      </c>
      <c r="C16" s="1">
        <v>46</v>
      </c>
      <c r="D16" s="2">
        <v>3</v>
      </c>
      <c r="M16" s="2">
        <v>0</v>
      </c>
    </row>
    <row r="17" customHeight="1" spans="1:13">
      <c r="A17" s="1">
        <v>17</v>
      </c>
      <c r="B17" s="2">
        <f>'Respostas ao formulário 1'!N18</f>
        <v>4</v>
      </c>
      <c r="C17" s="1">
        <v>47</v>
      </c>
      <c r="D17" s="2">
        <v>3</v>
      </c>
      <c r="M17" s="2">
        <v>6</v>
      </c>
    </row>
    <row r="18" customHeight="1" spans="1:13">
      <c r="A18" s="1">
        <v>18</v>
      </c>
      <c r="B18" s="2">
        <f>'Respostas ao formulário 1'!N19</f>
        <v>17</v>
      </c>
      <c r="C18" s="1">
        <v>57</v>
      </c>
      <c r="D18" s="2">
        <v>3</v>
      </c>
      <c r="M18" s="2">
        <v>0</v>
      </c>
    </row>
    <row r="19" customHeight="1" spans="1:13">
      <c r="A19" s="1">
        <v>19</v>
      </c>
      <c r="B19" s="2">
        <f>'Respostas ao formulário 1'!N20</f>
        <v>10</v>
      </c>
      <c r="C19" s="1">
        <v>17</v>
      </c>
      <c r="D19" s="2">
        <v>4</v>
      </c>
      <c r="M19" s="2">
        <v>6</v>
      </c>
    </row>
    <row r="20" customHeight="1" spans="1:13">
      <c r="A20" s="1">
        <v>20</v>
      </c>
      <c r="B20" s="2">
        <f>'Respostas ao formulário 1'!N21</f>
        <v>5</v>
      </c>
      <c r="C20" s="1">
        <v>45</v>
      </c>
      <c r="D20" s="2">
        <v>4</v>
      </c>
      <c r="M20" s="2">
        <v>0</v>
      </c>
    </row>
    <row r="21" customHeight="1" spans="1:13">
      <c r="A21" s="1">
        <v>21</v>
      </c>
      <c r="B21" s="2">
        <f>'Respostas ao formulário 1'!N22</f>
        <v>9</v>
      </c>
      <c r="C21" s="1">
        <v>54</v>
      </c>
      <c r="D21" s="2">
        <v>4</v>
      </c>
      <c r="M21" s="2">
        <v>6</v>
      </c>
    </row>
    <row r="22" customHeight="1" spans="1:13">
      <c r="A22" s="1">
        <v>22</v>
      </c>
      <c r="B22" s="2">
        <f>'Respostas ao formulário 1'!N23</f>
        <v>10</v>
      </c>
      <c r="C22" s="1">
        <v>1</v>
      </c>
      <c r="D22" s="2">
        <v>5</v>
      </c>
      <c r="M22" s="2">
        <v>0</v>
      </c>
    </row>
    <row r="23" customHeight="1" spans="1:13">
      <c r="A23" s="1">
        <v>23</v>
      </c>
      <c r="B23" s="2">
        <f>'Respostas ao formulário 1'!N24</f>
        <v>12</v>
      </c>
      <c r="C23" s="1">
        <v>4</v>
      </c>
      <c r="D23" s="2">
        <v>5</v>
      </c>
      <c r="M23" s="2">
        <v>6</v>
      </c>
    </row>
    <row r="24" customHeight="1" spans="1:13">
      <c r="A24" s="1">
        <v>24</v>
      </c>
      <c r="B24" s="2">
        <f>'Respostas ao formulário 1'!N25</f>
        <v>15</v>
      </c>
      <c r="C24" s="1">
        <v>13</v>
      </c>
      <c r="D24" s="2">
        <v>5</v>
      </c>
      <c r="M24" s="2">
        <v>0</v>
      </c>
    </row>
    <row r="25" customHeight="1" spans="1:13">
      <c r="A25" s="1">
        <v>25</v>
      </c>
      <c r="B25" s="2">
        <f>'Respostas ao formulário 1'!N26</f>
        <v>11</v>
      </c>
      <c r="C25" s="1">
        <v>20</v>
      </c>
      <c r="D25" s="2">
        <v>5</v>
      </c>
      <c r="M25" s="2">
        <v>6</v>
      </c>
    </row>
    <row r="26" customHeight="1" spans="1:13">
      <c r="A26" s="1">
        <v>26</v>
      </c>
      <c r="B26" s="2">
        <f>'Respostas ao formulário 1'!N27</f>
        <v>22</v>
      </c>
      <c r="C26" s="1">
        <v>30</v>
      </c>
      <c r="D26" s="2">
        <v>5</v>
      </c>
      <c r="M26" s="2">
        <v>0</v>
      </c>
    </row>
    <row r="27" customHeight="1" spans="1:13">
      <c r="A27" s="1">
        <v>27</v>
      </c>
      <c r="B27" s="2">
        <f>'Respostas ao formulário 1'!N28</f>
        <v>0</v>
      </c>
      <c r="C27" s="1">
        <v>31</v>
      </c>
      <c r="D27" s="2">
        <v>5</v>
      </c>
      <c r="M27" s="2">
        <v>6</v>
      </c>
    </row>
    <row r="28" customHeight="1" spans="1:13">
      <c r="A28" s="1">
        <v>28</v>
      </c>
      <c r="B28" s="2">
        <f>'Respostas ao formulário 1'!N29</f>
        <v>7</v>
      </c>
      <c r="C28" s="1">
        <v>33</v>
      </c>
      <c r="D28" s="2">
        <v>5</v>
      </c>
      <c r="M28" s="2">
        <v>0</v>
      </c>
    </row>
    <row r="29" customHeight="1" spans="1:13">
      <c r="A29" s="1">
        <v>29</v>
      </c>
      <c r="B29" s="2">
        <f>'Respostas ao formulário 1'!N30</f>
        <v>2</v>
      </c>
      <c r="C29" s="1">
        <v>37</v>
      </c>
      <c r="D29" s="2">
        <v>5</v>
      </c>
      <c r="M29" s="2">
        <v>6</v>
      </c>
    </row>
    <row r="30" customHeight="1" spans="1:13">
      <c r="A30" s="1">
        <v>30</v>
      </c>
      <c r="B30" s="2">
        <f>'Respostas ao formulário 1'!N31</f>
        <v>5</v>
      </c>
      <c r="C30" s="1">
        <v>49</v>
      </c>
      <c r="D30" s="2">
        <v>5</v>
      </c>
      <c r="M30" s="2">
        <v>11</v>
      </c>
    </row>
    <row r="31" customHeight="1" spans="1:4">
      <c r="A31" s="1">
        <v>31</v>
      </c>
      <c r="B31" s="2">
        <f>'Respostas ao formulário 1'!N32</f>
        <v>5</v>
      </c>
      <c r="C31" s="1">
        <v>58</v>
      </c>
      <c r="D31" s="2">
        <v>5</v>
      </c>
    </row>
    <row r="32" customHeight="1" spans="1:4">
      <c r="A32" s="1">
        <v>32</v>
      </c>
      <c r="B32" s="2">
        <f>'Respostas ao formulário 1'!N33</f>
        <v>13</v>
      </c>
      <c r="C32" s="1">
        <v>59</v>
      </c>
      <c r="D32" s="2">
        <v>5</v>
      </c>
    </row>
    <row r="33" customHeight="1" spans="1:4">
      <c r="A33" s="1">
        <v>33</v>
      </c>
      <c r="B33" s="2">
        <f>'Respostas ao formulário 1'!N34</f>
        <v>5</v>
      </c>
      <c r="C33" s="1">
        <v>11</v>
      </c>
      <c r="D33" s="2">
        <v>6</v>
      </c>
    </row>
    <row r="34" customHeight="1" spans="1:4">
      <c r="A34" s="1">
        <v>34</v>
      </c>
      <c r="B34" s="2">
        <f>'Respostas ao formulário 1'!N35</f>
        <v>48</v>
      </c>
      <c r="C34" s="1">
        <v>56</v>
      </c>
      <c r="D34" s="2">
        <v>6</v>
      </c>
    </row>
    <row r="35" customHeight="1" spans="1:4">
      <c r="A35" s="1">
        <v>35</v>
      </c>
      <c r="B35" s="2">
        <f>'Respostas ao formulário 1'!N36</f>
        <v>3</v>
      </c>
      <c r="C35" s="1">
        <v>28</v>
      </c>
      <c r="D35" s="2">
        <v>7</v>
      </c>
    </row>
    <row r="36" customHeight="1" spans="1:4">
      <c r="A36" s="1">
        <v>36</v>
      </c>
      <c r="B36" s="2">
        <f>'Respostas ao formulário 1'!N37</f>
        <v>21</v>
      </c>
      <c r="C36" s="1">
        <v>52</v>
      </c>
      <c r="D36" s="2">
        <v>8</v>
      </c>
    </row>
    <row r="37" customHeight="1" spans="1:4">
      <c r="A37" s="1">
        <v>37</v>
      </c>
      <c r="B37" s="2">
        <f>'Respostas ao formulário 1'!N38</f>
        <v>5</v>
      </c>
      <c r="C37" s="1">
        <v>55</v>
      </c>
      <c r="D37" s="2">
        <v>8</v>
      </c>
    </row>
    <row r="38" customHeight="1" spans="1:4">
      <c r="A38" s="1">
        <v>38</v>
      </c>
      <c r="B38" s="2">
        <f>'Respostas ao formulário 1'!N39</f>
        <v>17</v>
      </c>
      <c r="C38" s="1">
        <v>21</v>
      </c>
      <c r="D38" s="2">
        <v>9</v>
      </c>
    </row>
    <row r="39" customHeight="1" spans="1:4">
      <c r="A39" s="1">
        <v>39</v>
      </c>
      <c r="B39" s="2">
        <f>'Respostas ao formulário 1'!N40</f>
        <v>3</v>
      </c>
      <c r="C39" s="1">
        <v>44</v>
      </c>
      <c r="D39" s="2">
        <v>9</v>
      </c>
    </row>
    <row r="40" customHeight="1" spans="1:4">
      <c r="A40" s="1">
        <v>40</v>
      </c>
      <c r="B40" s="2">
        <f>'Respostas ao formulário 1'!N41</f>
        <v>3</v>
      </c>
      <c r="C40" s="1">
        <v>48</v>
      </c>
      <c r="D40" s="2">
        <v>9</v>
      </c>
    </row>
    <row r="41" customHeight="1" spans="1:4">
      <c r="A41" s="1">
        <v>41</v>
      </c>
      <c r="B41" s="2">
        <f>'Respostas ao formulário 1'!N42</f>
        <v>2</v>
      </c>
      <c r="C41" s="1">
        <v>19</v>
      </c>
      <c r="D41" s="2">
        <v>10</v>
      </c>
    </row>
    <row r="42" customHeight="1" spans="1:4">
      <c r="A42" s="1">
        <v>42</v>
      </c>
      <c r="B42" s="2">
        <f>'Respostas ao formulário 1'!N43</f>
        <v>2</v>
      </c>
      <c r="C42" s="1">
        <v>22</v>
      </c>
      <c r="D42" s="2">
        <v>10</v>
      </c>
    </row>
    <row r="43" customHeight="1" spans="1:4">
      <c r="A43" s="1">
        <v>43</v>
      </c>
      <c r="B43" s="2">
        <f>'Respostas ao formulário 1'!N44</f>
        <v>11</v>
      </c>
      <c r="C43" s="1">
        <v>50</v>
      </c>
      <c r="D43" s="2">
        <v>10</v>
      </c>
    </row>
    <row r="44" customHeight="1" spans="1:4">
      <c r="A44" s="1">
        <v>44</v>
      </c>
      <c r="B44" s="2">
        <f>'Respostas ao formulário 1'!N45</f>
        <v>9</v>
      </c>
      <c r="C44" s="1">
        <v>25</v>
      </c>
      <c r="D44" s="2">
        <v>11</v>
      </c>
    </row>
    <row r="45" customHeight="1" spans="1:4">
      <c r="A45" s="1">
        <v>45</v>
      </c>
      <c r="B45" s="2">
        <f>'Respostas ao formulário 1'!N46</f>
        <v>4</v>
      </c>
      <c r="C45" s="1">
        <v>43</v>
      </c>
      <c r="D45" s="2">
        <v>11</v>
      </c>
    </row>
    <row r="46" customHeight="1" spans="1:4">
      <c r="A46" s="1">
        <v>46</v>
      </c>
      <c r="B46" s="2">
        <f>'Respostas ao formulário 1'!N47</f>
        <v>3</v>
      </c>
      <c r="C46" s="1">
        <v>23</v>
      </c>
      <c r="D46" s="2">
        <v>12</v>
      </c>
    </row>
    <row r="47" customHeight="1" spans="1:4">
      <c r="A47" s="1">
        <v>47</v>
      </c>
      <c r="B47" s="2">
        <f>'Respostas ao formulário 1'!N48</f>
        <v>3</v>
      </c>
      <c r="C47" s="1">
        <v>32</v>
      </c>
      <c r="D47" s="2">
        <v>13</v>
      </c>
    </row>
    <row r="48" customHeight="1" spans="1:4">
      <c r="A48" s="1">
        <v>48</v>
      </c>
      <c r="B48" s="2">
        <f>'Respostas ao formulário 1'!N49</f>
        <v>9</v>
      </c>
      <c r="C48" s="1">
        <v>53</v>
      </c>
      <c r="D48" s="2">
        <v>13</v>
      </c>
    </row>
    <row r="49" customHeight="1" spans="1:4">
      <c r="A49" s="1">
        <v>49</v>
      </c>
      <c r="B49" s="2">
        <f>'Respostas ao formulário 1'!N50</f>
        <v>5</v>
      </c>
      <c r="C49" s="1">
        <v>7</v>
      </c>
      <c r="D49" s="2">
        <v>14</v>
      </c>
    </row>
    <row r="50" customHeight="1" spans="1:4">
      <c r="A50" s="1">
        <v>50</v>
      </c>
      <c r="B50" s="2">
        <f>'Respostas ao formulário 1'!N51</f>
        <v>10</v>
      </c>
      <c r="C50" s="1">
        <v>15</v>
      </c>
      <c r="D50" s="2">
        <v>14</v>
      </c>
    </row>
    <row r="51" customHeight="1" spans="1:4">
      <c r="A51" s="1">
        <v>51</v>
      </c>
      <c r="B51" s="2">
        <f>'Respostas ao formulário 1'!N52</f>
        <v>33</v>
      </c>
      <c r="C51" s="1">
        <v>24</v>
      </c>
      <c r="D51" s="2">
        <v>15</v>
      </c>
    </row>
    <row r="52" customHeight="1" spans="1:4">
      <c r="A52" s="1">
        <v>52</v>
      </c>
      <c r="B52" s="2">
        <f>'Respostas ao formulário 1'!N53</f>
        <v>8</v>
      </c>
      <c r="C52" s="1">
        <v>18</v>
      </c>
      <c r="D52" s="2">
        <v>17</v>
      </c>
    </row>
    <row r="53" customHeight="1" spans="1:4">
      <c r="A53" s="1">
        <v>53</v>
      </c>
      <c r="B53" s="2">
        <f>'Respostas ao formulário 1'!N54</f>
        <v>13</v>
      </c>
      <c r="C53" s="1">
        <v>38</v>
      </c>
      <c r="D53" s="2">
        <v>17</v>
      </c>
    </row>
    <row r="54" customHeight="1" spans="1:4">
      <c r="A54" s="1">
        <v>54</v>
      </c>
      <c r="B54" s="2">
        <f>'Respostas ao formulário 1'!N55</f>
        <v>4</v>
      </c>
      <c r="C54" s="1">
        <v>36</v>
      </c>
      <c r="D54" s="2">
        <v>21</v>
      </c>
    </row>
    <row r="55" customHeight="1" spans="1:4">
      <c r="A55" s="1">
        <v>55</v>
      </c>
      <c r="B55" s="2">
        <f>'Respostas ao formulário 1'!N56</f>
        <v>8</v>
      </c>
      <c r="C55" s="1">
        <v>26</v>
      </c>
      <c r="D55" s="2">
        <v>22</v>
      </c>
    </row>
    <row r="56" customHeight="1" spans="1:4">
      <c r="A56" s="1">
        <v>56</v>
      </c>
      <c r="B56" s="2">
        <f>'Respostas ao formulário 1'!N57</f>
        <v>6</v>
      </c>
      <c r="C56" s="1">
        <v>14</v>
      </c>
      <c r="D56" s="2">
        <v>30</v>
      </c>
    </row>
    <row r="57" customHeight="1" spans="1:4">
      <c r="A57" s="1">
        <v>57</v>
      </c>
      <c r="B57" s="2">
        <f>'Respostas ao formulário 1'!N58</f>
        <v>3</v>
      </c>
      <c r="C57" s="1">
        <v>51</v>
      </c>
      <c r="D57" s="2">
        <v>33</v>
      </c>
    </row>
    <row r="58" customHeight="1" spans="1:4">
      <c r="A58" s="1">
        <v>58</v>
      </c>
      <c r="B58" s="2">
        <f>'Respostas ao formulário 1'!N59</f>
        <v>5</v>
      </c>
      <c r="C58" s="1">
        <v>9</v>
      </c>
      <c r="D58" s="2">
        <v>36</v>
      </c>
    </row>
    <row r="59" customHeight="1" spans="1:4">
      <c r="A59" s="1">
        <v>59</v>
      </c>
      <c r="B59" s="2">
        <f>'Respostas ao formulário 1'!N60</f>
        <v>5</v>
      </c>
      <c r="C59" s="1">
        <v>34</v>
      </c>
      <c r="D59" s="2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9"/>
  <sheetViews>
    <sheetView workbookViewId="0">
      <selection activeCell="A1" sqref="A1"/>
    </sheetView>
  </sheetViews>
  <sheetFormatPr defaultColWidth="14.4285714285714" defaultRowHeight="15.75" customHeight="1" outlineLevelCol="1"/>
  <sheetData>
    <row r="1" customHeight="1" spans="1:2">
      <c r="A1" s="1">
        <v>27</v>
      </c>
      <c r="B1" s="2">
        <f>'Respostas ao formulário 1'!N28</f>
        <v>0</v>
      </c>
    </row>
    <row r="2" customHeight="1" spans="1:2">
      <c r="A2" s="1">
        <v>3</v>
      </c>
      <c r="B2" s="2">
        <f>'Respostas ao formulário 1'!N4</f>
        <v>1</v>
      </c>
    </row>
    <row r="3" customHeight="1" spans="1:2">
      <c r="A3" s="1">
        <v>2</v>
      </c>
      <c r="B3" s="2">
        <f>'Respostas ao formulário 1'!N3</f>
        <v>2</v>
      </c>
    </row>
    <row r="4" customHeight="1" spans="1:2">
      <c r="A4" s="1">
        <v>10</v>
      </c>
      <c r="B4" s="2">
        <f>'Respostas ao formulário 1'!N11</f>
        <v>2</v>
      </c>
    </row>
    <row r="5" customHeight="1" spans="1:2">
      <c r="A5" s="1">
        <v>12</v>
      </c>
      <c r="B5" s="2">
        <f>'Respostas ao formulário 1'!N13</f>
        <v>2</v>
      </c>
    </row>
    <row r="6" customHeight="1" spans="1:2">
      <c r="A6" s="1">
        <v>29</v>
      </c>
      <c r="B6" s="2">
        <f>'Respostas ao formulário 1'!N30</f>
        <v>2</v>
      </c>
    </row>
    <row r="7" customHeight="1" spans="1:2">
      <c r="A7" s="1">
        <v>41</v>
      </c>
      <c r="B7" s="2">
        <f>'Respostas ao formulário 1'!N42</f>
        <v>2</v>
      </c>
    </row>
    <row r="8" customHeight="1" spans="1:2">
      <c r="A8" s="1">
        <v>42</v>
      </c>
      <c r="B8" s="2">
        <f>'Respostas ao formulário 1'!N43</f>
        <v>2</v>
      </c>
    </row>
    <row r="9" customHeight="1" spans="1:2">
      <c r="A9" s="1">
        <v>5</v>
      </c>
      <c r="B9" s="2">
        <f>'Respostas ao formulário 1'!N6</f>
        <v>3</v>
      </c>
    </row>
    <row r="10" customHeight="1" spans="1:2">
      <c r="A10" s="1">
        <v>6</v>
      </c>
      <c r="B10" s="2">
        <f>'Respostas ao formulário 1'!N7</f>
        <v>3</v>
      </c>
    </row>
    <row r="11" customHeight="1" spans="1:2">
      <c r="A11" s="1">
        <v>8</v>
      </c>
      <c r="B11" s="2">
        <f>'Respostas ao formulário 1'!N9</f>
        <v>3</v>
      </c>
    </row>
    <row r="12" customHeight="1" spans="1:2">
      <c r="A12" s="1">
        <v>16</v>
      </c>
      <c r="B12" s="2">
        <f>'Respostas ao formulário 1'!N17</f>
        <v>3</v>
      </c>
    </row>
    <row r="13" customHeight="1" spans="1:2">
      <c r="A13" s="1">
        <v>35</v>
      </c>
      <c r="B13" s="2">
        <f>'Respostas ao formulário 1'!N36</f>
        <v>3</v>
      </c>
    </row>
    <row r="14" customHeight="1" spans="1:2">
      <c r="A14" s="1">
        <v>39</v>
      </c>
      <c r="B14" s="2">
        <f>'Respostas ao formulário 1'!N40</f>
        <v>3</v>
      </c>
    </row>
    <row r="15" customHeight="1" spans="1:2">
      <c r="A15" s="1">
        <v>40</v>
      </c>
      <c r="B15" s="2">
        <f>'Respostas ao formulário 1'!N41</f>
        <v>3</v>
      </c>
    </row>
    <row r="16" customHeight="1" spans="1:2">
      <c r="A16" s="1">
        <v>46</v>
      </c>
      <c r="B16" s="2">
        <f>'Respostas ao formulário 1'!N47</f>
        <v>3</v>
      </c>
    </row>
    <row r="17" customHeight="1" spans="1:2">
      <c r="A17" s="1">
        <v>47</v>
      </c>
      <c r="B17" s="2">
        <f>'Respostas ao formulário 1'!N48</f>
        <v>3</v>
      </c>
    </row>
    <row r="18" customHeight="1" spans="1:2">
      <c r="A18" s="1">
        <v>57</v>
      </c>
      <c r="B18" s="2">
        <f>'Respostas ao formulário 1'!N58</f>
        <v>3</v>
      </c>
    </row>
    <row r="19" customHeight="1" spans="1:2">
      <c r="A19" s="1">
        <v>17</v>
      </c>
      <c r="B19" s="2">
        <f>'Respostas ao formulário 1'!N18</f>
        <v>4</v>
      </c>
    </row>
    <row r="20" customHeight="1" spans="1:2">
      <c r="A20" s="1">
        <v>45</v>
      </c>
      <c r="B20" s="2">
        <f>'Respostas ao formulário 1'!N46</f>
        <v>4</v>
      </c>
    </row>
    <row r="21" customHeight="1" spans="1:2">
      <c r="A21" s="1">
        <v>54</v>
      </c>
      <c r="B21" s="2">
        <f>'Respostas ao formulário 1'!N55</f>
        <v>4</v>
      </c>
    </row>
    <row r="22" customHeight="1" spans="1:2">
      <c r="A22" s="1">
        <v>1</v>
      </c>
      <c r="B22" s="2">
        <f>'Respostas ao formulário 1'!N2</f>
        <v>5</v>
      </c>
    </row>
    <row r="23" customHeight="1" spans="1:2">
      <c r="A23" s="1">
        <v>4</v>
      </c>
      <c r="B23" s="2">
        <f>'Respostas ao formulário 1'!N5</f>
        <v>5</v>
      </c>
    </row>
    <row r="24" customHeight="1" spans="1:2">
      <c r="A24" s="1">
        <v>13</v>
      </c>
      <c r="B24" s="2">
        <f>'Respostas ao formulário 1'!N14</f>
        <v>5</v>
      </c>
    </row>
    <row r="25" customHeight="1" spans="1:2">
      <c r="A25" s="1">
        <v>20</v>
      </c>
      <c r="B25" s="2">
        <f>'Respostas ao formulário 1'!N21</f>
        <v>5</v>
      </c>
    </row>
    <row r="26" customHeight="1" spans="1:2">
      <c r="A26" s="1">
        <v>30</v>
      </c>
      <c r="B26" s="2">
        <f>'Respostas ao formulário 1'!N31</f>
        <v>5</v>
      </c>
    </row>
    <row r="27" customHeight="1" spans="1:2">
      <c r="A27" s="1">
        <v>31</v>
      </c>
      <c r="B27" s="2">
        <f>'Respostas ao formulário 1'!N32</f>
        <v>5</v>
      </c>
    </row>
    <row r="28" customHeight="1" spans="1:2">
      <c r="A28" s="1">
        <v>33</v>
      </c>
      <c r="B28" s="2">
        <f>'Respostas ao formulário 1'!N34</f>
        <v>5</v>
      </c>
    </row>
    <row r="29" customHeight="1" spans="1:2">
      <c r="A29" s="1">
        <v>37</v>
      </c>
      <c r="B29" s="2">
        <f>'Respostas ao formulário 1'!N38</f>
        <v>5</v>
      </c>
    </row>
    <row r="30" customHeight="1" spans="1:2">
      <c r="A30" s="1">
        <v>49</v>
      </c>
      <c r="B30" s="2">
        <f>'Respostas ao formulário 1'!N50</f>
        <v>5</v>
      </c>
    </row>
    <row r="31" customHeight="1" spans="1:2">
      <c r="A31" s="1">
        <v>58</v>
      </c>
      <c r="B31" s="2">
        <f>'Respostas ao formulário 1'!N59</f>
        <v>5</v>
      </c>
    </row>
    <row r="32" customHeight="1" spans="1:2">
      <c r="A32" s="1">
        <v>59</v>
      </c>
      <c r="B32" s="2">
        <f>'Respostas ao formulário 1'!N60</f>
        <v>5</v>
      </c>
    </row>
    <row r="33" customHeight="1" spans="1:2">
      <c r="A33" s="1">
        <v>11</v>
      </c>
      <c r="B33" s="2">
        <f>'Respostas ao formulário 1'!N12</f>
        <v>6</v>
      </c>
    </row>
    <row r="34" customHeight="1" spans="1:2">
      <c r="A34" s="1">
        <v>56</v>
      </c>
      <c r="B34" s="2">
        <f>'Respostas ao formulário 1'!N57</f>
        <v>6</v>
      </c>
    </row>
    <row r="35" customHeight="1" spans="1:2">
      <c r="A35" s="1">
        <v>28</v>
      </c>
      <c r="B35" s="2">
        <f>'Respostas ao formulário 1'!N29</f>
        <v>7</v>
      </c>
    </row>
    <row r="36" customHeight="1" spans="1:2">
      <c r="A36" s="1">
        <v>52</v>
      </c>
      <c r="B36" s="2">
        <f>'Respostas ao formulário 1'!N53</f>
        <v>8</v>
      </c>
    </row>
    <row r="37" customHeight="1" spans="1:2">
      <c r="A37" s="1">
        <v>55</v>
      </c>
      <c r="B37" s="2">
        <f>'Respostas ao formulário 1'!N56</f>
        <v>8</v>
      </c>
    </row>
    <row r="38" customHeight="1" spans="1:2">
      <c r="A38" s="1">
        <v>21</v>
      </c>
      <c r="B38" s="2">
        <f>'Respostas ao formulário 1'!N22</f>
        <v>9</v>
      </c>
    </row>
    <row r="39" customHeight="1" spans="1:2">
      <c r="A39" s="1">
        <v>44</v>
      </c>
      <c r="B39" s="2">
        <f>'Respostas ao formulário 1'!N45</f>
        <v>9</v>
      </c>
    </row>
    <row r="40" customHeight="1" spans="1:2">
      <c r="A40" s="1">
        <v>48</v>
      </c>
      <c r="B40" s="2">
        <f>'Respostas ao formulário 1'!N49</f>
        <v>9</v>
      </c>
    </row>
    <row r="41" customHeight="1" spans="1:2">
      <c r="A41" s="1">
        <v>19</v>
      </c>
      <c r="B41" s="2">
        <f>'Respostas ao formulário 1'!N20</f>
        <v>10</v>
      </c>
    </row>
    <row r="42" customHeight="1" spans="1:2">
      <c r="A42" s="1">
        <v>22</v>
      </c>
      <c r="B42" s="2">
        <f>'Respostas ao formulário 1'!N23</f>
        <v>10</v>
      </c>
    </row>
    <row r="43" customHeight="1" spans="1:2">
      <c r="A43" s="1">
        <v>50</v>
      </c>
      <c r="B43" s="2">
        <f>'Respostas ao formulário 1'!N51</f>
        <v>10</v>
      </c>
    </row>
    <row r="44" customHeight="1" spans="1:2">
      <c r="A44" s="1">
        <v>25</v>
      </c>
      <c r="B44" s="2">
        <f>'Respostas ao formulário 1'!N26</f>
        <v>11</v>
      </c>
    </row>
    <row r="45" customHeight="1" spans="1:2">
      <c r="A45" s="1">
        <v>43</v>
      </c>
      <c r="B45" s="2">
        <f>'Respostas ao formulário 1'!N44</f>
        <v>11</v>
      </c>
    </row>
    <row r="46" customHeight="1" spans="1:2">
      <c r="A46" s="1">
        <v>23</v>
      </c>
      <c r="B46" s="2">
        <f>'Respostas ao formulário 1'!N24</f>
        <v>12</v>
      </c>
    </row>
    <row r="47" customHeight="1" spans="1:2">
      <c r="A47" s="1">
        <v>32</v>
      </c>
      <c r="B47" s="2">
        <f>'Respostas ao formulário 1'!N33</f>
        <v>13</v>
      </c>
    </row>
    <row r="48" customHeight="1" spans="1:2">
      <c r="A48" s="1">
        <v>53</v>
      </c>
      <c r="B48" s="2">
        <f>'Respostas ao formulário 1'!N54</f>
        <v>13</v>
      </c>
    </row>
    <row r="49" customHeight="1" spans="1:2">
      <c r="A49" s="1">
        <v>7</v>
      </c>
      <c r="B49" s="2">
        <f>'Respostas ao formulário 1'!N8</f>
        <v>14</v>
      </c>
    </row>
    <row r="50" customHeight="1" spans="1:2">
      <c r="A50" s="1">
        <v>15</v>
      </c>
      <c r="B50" s="2">
        <f>'Respostas ao formulário 1'!N16</f>
        <v>14</v>
      </c>
    </row>
    <row r="51" customHeight="1" spans="1:2">
      <c r="A51" s="1">
        <v>24</v>
      </c>
      <c r="B51" s="2">
        <f>'Respostas ao formulário 1'!N25</f>
        <v>15</v>
      </c>
    </row>
    <row r="52" customHeight="1" spans="1:2">
      <c r="A52" s="1">
        <v>18</v>
      </c>
      <c r="B52" s="2">
        <f>'Respostas ao formulário 1'!N19</f>
        <v>17</v>
      </c>
    </row>
    <row r="53" customHeight="1" spans="1:2">
      <c r="A53" s="1">
        <v>38</v>
      </c>
      <c r="B53" s="2">
        <f>'Respostas ao formulário 1'!N39</f>
        <v>17</v>
      </c>
    </row>
    <row r="54" customHeight="1" spans="1:2">
      <c r="A54" s="1">
        <v>36</v>
      </c>
      <c r="B54" s="2">
        <f>'Respostas ao formulário 1'!N37</f>
        <v>21</v>
      </c>
    </row>
    <row r="55" customHeight="1" spans="1:2">
      <c r="A55" s="1">
        <v>26</v>
      </c>
      <c r="B55" s="2">
        <f>'Respostas ao formulário 1'!N27</f>
        <v>22</v>
      </c>
    </row>
    <row r="56" customHeight="1" spans="1:2">
      <c r="A56" s="1">
        <v>14</v>
      </c>
      <c r="B56" s="2">
        <f>'Respostas ao formulário 1'!N15</f>
        <v>30</v>
      </c>
    </row>
    <row r="57" customHeight="1" spans="1:2">
      <c r="A57" s="1">
        <v>51</v>
      </c>
      <c r="B57" s="2">
        <f>'Respostas ao formulário 1'!N52</f>
        <v>33</v>
      </c>
    </row>
    <row r="58" customHeight="1" spans="1:2">
      <c r="A58" s="1">
        <v>9</v>
      </c>
      <c r="B58" s="2">
        <f>'Respostas ao formulário 1'!N10</f>
        <v>36</v>
      </c>
    </row>
    <row r="59" customHeight="1" spans="1:2">
      <c r="A59" s="1">
        <v>34</v>
      </c>
      <c r="B59" s="2">
        <f>'Respostas ao formulário 1'!N35</f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Respostas ao formulário 1</vt:lpstr>
      <vt:lpstr>Página2</vt:lpstr>
      <vt:lpstr>Página3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</cp:lastModifiedBy>
  <dcterms:created xsi:type="dcterms:W3CDTF">2021-09-10T11:18:00Z</dcterms:created>
  <dcterms:modified xsi:type="dcterms:W3CDTF">2021-09-15T12:24:41Z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A99E99229E3A4D688FDA5B212C97F192</vt:lpwstr>
  </property>
  <property fmtid="{D5CDD505-2E9C-101B-9397-08002B2CF9AE}" pid="3" name="KSOProductBuildVer">
    <vt:lpwstr>1033-11.2.0.10294</vt:lpwstr>
  </property>
</Properties>
</file>