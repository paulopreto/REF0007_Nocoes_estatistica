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Página2" sheetId="2" r:id="rId5"/>
    <sheet state="visible" name="Página3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N8">
      <text>
        <t xml:space="preserve">O respondente atualizou este valor.</t>
      </text>
    </comment>
    <comment authorId="0" ref="D41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<sst xmlns="http://schemas.openxmlformats.org/spreadsheetml/2006/main" count="383" uniqueCount="230">
  <si>
    <t>Carimbo de data/hora</t>
  </si>
  <si>
    <t>Endereço de e-mail</t>
  </si>
  <si>
    <t>Qual seu número USP?</t>
  </si>
  <si>
    <t>Crie um pseudônimo para você?</t>
  </si>
  <si>
    <t>Qual sua data de nascimento?</t>
  </si>
  <si>
    <t>Qual sua estatura em metros?</t>
  </si>
  <si>
    <t>Qual sua massa corporal em quilogramas?</t>
  </si>
  <si>
    <t>Qual o número do seu calçado?</t>
  </si>
  <si>
    <t>Sexo (M = masculino ou F = feminino)</t>
  </si>
  <si>
    <t>Qual o seu tempo de prática no futebol em anos?</t>
  </si>
  <si>
    <t>Em uma escala entre 1 e 5, qual o seu nível de habilidade no futebol?</t>
  </si>
  <si>
    <t>Qual time de futebol do Brasil você torce?</t>
  </si>
  <si>
    <t>Qual seu esporte preferido?</t>
  </si>
  <si>
    <t>Quantas embaixadinhas você conseguiu fazer?</t>
  </si>
  <si>
    <t>ferfidelis@usp.br</t>
  </si>
  <si>
    <t>Fidelis</t>
  </si>
  <si>
    <t>1.79</t>
  </si>
  <si>
    <t>M</t>
  </si>
  <si>
    <t>Nenhum</t>
  </si>
  <si>
    <t>Fisiculturismo</t>
  </si>
  <si>
    <t>giovanalocchi@usp.br</t>
  </si>
  <si>
    <t>GLG</t>
  </si>
  <si>
    <t>1.66</t>
  </si>
  <si>
    <t>72.1</t>
  </si>
  <si>
    <t>F</t>
  </si>
  <si>
    <t xml:space="preserve">Nenhum </t>
  </si>
  <si>
    <t xml:space="preserve">Vôlei </t>
  </si>
  <si>
    <t>fabianamassi@usp.br</t>
  </si>
  <si>
    <t>Matinho</t>
  </si>
  <si>
    <t>1.63</t>
  </si>
  <si>
    <t>América</t>
  </si>
  <si>
    <t>Boxe</t>
  </si>
  <si>
    <t>pedro_campos@usp.br</t>
  </si>
  <si>
    <t>phacampos</t>
  </si>
  <si>
    <t>1.75</t>
  </si>
  <si>
    <t>Palmeiras</t>
  </si>
  <si>
    <t>MMA</t>
  </si>
  <si>
    <t>vitoria28_marques@usp.br</t>
  </si>
  <si>
    <t>Vi</t>
  </si>
  <si>
    <t>1.60</t>
  </si>
  <si>
    <t>nenhum</t>
  </si>
  <si>
    <t>vôlei</t>
  </si>
  <si>
    <t>gabriel.carnielli@usp.br</t>
  </si>
  <si>
    <t>Personal das Estrelas</t>
  </si>
  <si>
    <t>1.85</t>
  </si>
  <si>
    <t xml:space="preserve">Ginástica </t>
  </si>
  <si>
    <t>mariagabrieladossantos735@usp.br</t>
  </si>
  <si>
    <t>Gabizão</t>
  </si>
  <si>
    <t>Santos</t>
  </si>
  <si>
    <t>Futsal</t>
  </si>
  <si>
    <t>fgbraidotti@usp.br</t>
  </si>
  <si>
    <t>eu</t>
  </si>
  <si>
    <t>1.74</t>
  </si>
  <si>
    <t>palmeiras</t>
  </si>
  <si>
    <t>musculação</t>
  </si>
  <si>
    <t>leonardo.edfisica@usp.br</t>
  </si>
  <si>
    <t xml:space="preserve">Damian </t>
  </si>
  <si>
    <t>1.83</t>
  </si>
  <si>
    <t>Corinthians</t>
  </si>
  <si>
    <t>Futebol</t>
  </si>
  <si>
    <t>rumayorbianka@usp.br</t>
  </si>
  <si>
    <t xml:space="preserve">Paranauê </t>
  </si>
  <si>
    <t>1.69</t>
  </si>
  <si>
    <t>Capoeira</t>
  </si>
  <si>
    <t>sabrinas@usp.br</t>
  </si>
  <si>
    <t>Sashi</t>
  </si>
  <si>
    <t>1.68</t>
  </si>
  <si>
    <t>São Paulo</t>
  </si>
  <si>
    <t>Voleibol</t>
  </si>
  <si>
    <t>laranicolette@usp.br</t>
  </si>
  <si>
    <t>Marta Camisa 10</t>
  </si>
  <si>
    <t>Vôlei</t>
  </si>
  <si>
    <t>annandamoya28@usp.br</t>
  </si>
  <si>
    <t>Seca</t>
  </si>
  <si>
    <t>1.64</t>
  </si>
  <si>
    <t>alexandre.s94@usp.br</t>
  </si>
  <si>
    <t>Matuza</t>
  </si>
  <si>
    <t xml:space="preserve">Corinthians </t>
  </si>
  <si>
    <t xml:space="preserve">Futebol </t>
  </si>
  <si>
    <t>manutz@usp.br</t>
  </si>
  <si>
    <t>Manu TZ</t>
  </si>
  <si>
    <t>1.80</t>
  </si>
  <si>
    <t>bezerradasilvaisadora@usp.br</t>
  </si>
  <si>
    <t>Po</t>
  </si>
  <si>
    <t>1.67</t>
  </si>
  <si>
    <t>NENHUM</t>
  </si>
  <si>
    <t>anderson_nick3@usp.br</t>
  </si>
  <si>
    <t>Opala</t>
  </si>
  <si>
    <t>1.77</t>
  </si>
  <si>
    <t>Basquete</t>
  </si>
  <si>
    <t>marcelamoises@usp.br</t>
  </si>
  <si>
    <t>Binha</t>
  </si>
  <si>
    <t>Skate</t>
  </si>
  <si>
    <t>rossigabriel98@usp.br</t>
  </si>
  <si>
    <t>Napia</t>
  </si>
  <si>
    <t>1.78</t>
  </si>
  <si>
    <t>rachelglopes@usp.br</t>
  </si>
  <si>
    <t>Tokyo</t>
  </si>
  <si>
    <t>1.61</t>
  </si>
  <si>
    <t>Muay thai</t>
  </si>
  <si>
    <t>lucaspantone@usp.br</t>
  </si>
  <si>
    <t>Bala</t>
  </si>
  <si>
    <t>gustavocadu@usp.br</t>
  </si>
  <si>
    <t>Cadu</t>
  </si>
  <si>
    <t>1.72</t>
  </si>
  <si>
    <t>São Paulo FC e Botafogo SP</t>
  </si>
  <si>
    <t>Futebol e Futsal</t>
  </si>
  <si>
    <t>thiagomba@usp.br</t>
  </si>
  <si>
    <t>Molusco</t>
  </si>
  <si>
    <t>55.7</t>
  </si>
  <si>
    <t>elber.luciani@usp.br</t>
  </si>
  <si>
    <t>EHL</t>
  </si>
  <si>
    <t>São paulo</t>
  </si>
  <si>
    <t>futebol</t>
  </si>
  <si>
    <t>joseluizgonzagaribeiro@usp.br</t>
  </si>
  <si>
    <t>Febem</t>
  </si>
  <si>
    <t>1.89</t>
  </si>
  <si>
    <t>Ponte Preta</t>
  </si>
  <si>
    <t>murilo02@usp.br</t>
  </si>
  <si>
    <t xml:space="preserve">Comédia </t>
  </si>
  <si>
    <t>1.65</t>
  </si>
  <si>
    <t>ncampanini@usp.br</t>
  </si>
  <si>
    <t>NAC</t>
  </si>
  <si>
    <t>Tênis</t>
  </si>
  <si>
    <t>jeanhenry16@usp.br</t>
  </si>
  <si>
    <t xml:space="preserve">H de habilidoso </t>
  </si>
  <si>
    <t xml:space="preserve">São Paulo </t>
  </si>
  <si>
    <t>tehfarias@usp.br</t>
  </si>
  <si>
    <t>Fenzza</t>
  </si>
  <si>
    <t>1.70</t>
  </si>
  <si>
    <t>Musculação</t>
  </si>
  <si>
    <t>chfa016@usp.br</t>
  </si>
  <si>
    <t>capi</t>
  </si>
  <si>
    <t>mayara.nascimento@usp.br</t>
  </si>
  <si>
    <t>TDN</t>
  </si>
  <si>
    <t>1.71</t>
  </si>
  <si>
    <t>Comercial</t>
  </si>
  <si>
    <t>Handebol</t>
  </si>
  <si>
    <t>breno_amorim2000@usp.br</t>
  </si>
  <si>
    <t>O de O Breno</t>
  </si>
  <si>
    <t>gabrielsader@usp.br</t>
  </si>
  <si>
    <t>GCS</t>
  </si>
  <si>
    <t>eduxande22@usp.br</t>
  </si>
  <si>
    <t>Eduardo Alexandre</t>
  </si>
  <si>
    <t>tiagorodriguesquirino@usp.br</t>
  </si>
  <si>
    <t>TRQ</t>
  </si>
  <si>
    <t>guilherme.lima.oliveira@usp.br</t>
  </si>
  <si>
    <t>Mr X</t>
  </si>
  <si>
    <t>yasmimrodriguesantos@usp.br</t>
  </si>
  <si>
    <t>Dcnh</t>
  </si>
  <si>
    <t>1.57</t>
  </si>
  <si>
    <t>heitor_baranauskas@usp.br</t>
  </si>
  <si>
    <t>HEmbaixadinha</t>
  </si>
  <si>
    <t>1.86</t>
  </si>
  <si>
    <t>Botafogo RP</t>
  </si>
  <si>
    <t>Automobilismo</t>
  </si>
  <si>
    <t>igormaresca@usp.br</t>
  </si>
  <si>
    <t>Iguera</t>
  </si>
  <si>
    <t>são paulo</t>
  </si>
  <si>
    <t>futebol americano</t>
  </si>
  <si>
    <t>gabyviva@usp.br</t>
  </si>
  <si>
    <t xml:space="preserve">Vampira </t>
  </si>
  <si>
    <t>1.55</t>
  </si>
  <si>
    <t>gersonrubenshilarioribeiro@usp.br</t>
  </si>
  <si>
    <t>Shot Student</t>
  </si>
  <si>
    <t xml:space="preserve">SÃO PAULO </t>
  </si>
  <si>
    <t xml:space="preserve">Atletismo </t>
  </si>
  <si>
    <t>ravelamichelli@usp.br</t>
  </si>
  <si>
    <t>Rávela</t>
  </si>
  <si>
    <t>biabessa16@usp.br</t>
  </si>
  <si>
    <t>Bia Bessa</t>
  </si>
  <si>
    <t>laisruizmello@usp.br</t>
  </si>
  <si>
    <t>Poderosa</t>
  </si>
  <si>
    <t>joaovictorgtorini@usp.br</t>
  </si>
  <si>
    <t>Tradição</t>
  </si>
  <si>
    <t>1.87</t>
  </si>
  <si>
    <t>Natação</t>
  </si>
  <si>
    <t>natacha.araki@usp.br</t>
  </si>
  <si>
    <t>Uber</t>
  </si>
  <si>
    <t>1.62</t>
  </si>
  <si>
    <t>Treino contra resistência</t>
  </si>
  <si>
    <t>lais.beltrame@usp.br</t>
  </si>
  <si>
    <t>KM</t>
  </si>
  <si>
    <t>Ginástica</t>
  </si>
  <si>
    <t>mariaritalm@usp.br</t>
  </si>
  <si>
    <t xml:space="preserve">O PAI TA ON </t>
  </si>
  <si>
    <t>Fut Rap</t>
  </si>
  <si>
    <t>matheusgeneroso@usp.br</t>
  </si>
  <si>
    <t>Gênio da lâmpada</t>
  </si>
  <si>
    <t xml:space="preserve">Natação </t>
  </si>
  <si>
    <t>kanandahussar@usp.br</t>
  </si>
  <si>
    <t>Luna</t>
  </si>
  <si>
    <t>samuelsouza011@usp.br</t>
  </si>
  <si>
    <t>Paçoca</t>
  </si>
  <si>
    <t>1.73</t>
  </si>
  <si>
    <t>Sport Clube Corinthians Paulista</t>
  </si>
  <si>
    <t>gustavo.e.mata@usp.br</t>
  </si>
  <si>
    <t>Foca</t>
  </si>
  <si>
    <t>Judô</t>
  </si>
  <si>
    <t>h.zuccolotto12@usp.br</t>
  </si>
  <si>
    <t xml:space="preserve">Herege </t>
  </si>
  <si>
    <t>1.81</t>
  </si>
  <si>
    <t>lennin@usp.br</t>
  </si>
  <si>
    <t>pseudo eu</t>
  </si>
  <si>
    <t>55.8</t>
  </si>
  <si>
    <t>sao paulo</t>
  </si>
  <si>
    <t>handball</t>
  </si>
  <si>
    <t>renanhenriqueoliveira99@usp.br</t>
  </si>
  <si>
    <t xml:space="preserve">Militão </t>
  </si>
  <si>
    <t>tiago.zappa@usp.br</t>
  </si>
  <si>
    <t>TZ</t>
  </si>
  <si>
    <t>angelo.sarni@usp.br</t>
  </si>
  <si>
    <t>Anjinn</t>
  </si>
  <si>
    <t>renan07athenesi@usp.br</t>
  </si>
  <si>
    <t>Leo Stronda</t>
  </si>
  <si>
    <t>bsanches@usp.br</t>
  </si>
  <si>
    <t>BS</t>
  </si>
  <si>
    <t>Corrida</t>
  </si>
  <si>
    <t>N</t>
  </si>
  <si>
    <t>Numero de elementos</t>
  </si>
  <si>
    <t>Classes</t>
  </si>
  <si>
    <t>Freq abs</t>
  </si>
  <si>
    <t>Ponto medio</t>
  </si>
  <si>
    <t>lim inf</t>
  </si>
  <si>
    <t>lim sup</t>
  </si>
  <si>
    <t>K</t>
  </si>
  <si>
    <t>Numero de classes (bins)</t>
  </si>
  <si>
    <t>A</t>
  </si>
  <si>
    <t>Amplitude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</si>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</sst>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7" width="21.57"/>
    <col customWidth="1" min="8" max="8" width="27.43"/>
    <col customWidth="1" min="9" max="20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44062.92000407407</v>
      </c>
      <c r="B2" s="3" t="s">
        <v>14</v>
      </c>
      <c r="C2" s="3">
        <v>1.1855641E7</v>
      </c>
      <c r="D2" s="3" t="s">
        <v>15</v>
      </c>
      <c r="E2" s="4">
        <v>36805.0</v>
      </c>
      <c r="F2" s="3" t="s">
        <v>16</v>
      </c>
      <c r="G2" s="3">
        <v>72.0</v>
      </c>
      <c r="H2" s="3">
        <v>40.0</v>
      </c>
      <c r="I2" s="3" t="s">
        <v>17</v>
      </c>
      <c r="J2" s="3">
        <v>0.0</v>
      </c>
      <c r="K2" s="3">
        <v>3.0</v>
      </c>
      <c r="L2" s="3" t="s">
        <v>18</v>
      </c>
      <c r="M2" s="3" t="s">
        <v>19</v>
      </c>
      <c r="N2" s="3">
        <v>5.0</v>
      </c>
    </row>
    <row r="3">
      <c r="A3" s="2">
        <v>44062.92001548611</v>
      </c>
      <c r="B3" s="3" t="s">
        <v>20</v>
      </c>
      <c r="C3" s="3">
        <v>1.1913405E7</v>
      </c>
      <c r="D3" s="3" t="s">
        <v>21</v>
      </c>
      <c r="E3" s="4">
        <v>37176.0</v>
      </c>
      <c r="F3" s="3" t="s">
        <v>22</v>
      </c>
      <c r="G3" s="3" t="s">
        <v>23</v>
      </c>
      <c r="H3" s="3">
        <v>39.0</v>
      </c>
      <c r="I3" s="3" t="s">
        <v>24</v>
      </c>
      <c r="J3" s="3">
        <v>0.0</v>
      </c>
      <c r="K3" s="3">
        <v>1.0</v>
      </c>
      <c r="L3" s="3" t="s">
        <v>25</v>
      </c>
      <c r="M3" s="3" t="s">
        <v>26</v>
      </c>
      <c r="N3" s="3">
        <v>2.0</v>
      </c>
    </row>
    <row r="4">
      <c r="A4" s="2">
        <v>44062.92532958333</v>
      </c>
      <c r="B4" s="3" t="s">
        <v>27</v>
      </c>
      <c r="C4" s="3">
        <v>1.1876742E7</v>
      </c>
      <c r="D4" s="3" t="s">
        <v>28</v>
      </c>
      <c r="E4" s="4">
        <v>31434.0</v>
      </c>
      <c r="F4" s="3" t="s">
        <v>29</v>
      </c>
      <c r="G4" s="3">
        <v>60.0</v>
      </c>
      <c r="H4" s="3">
        <v>38.0</v>
      </c>
      <c r="I4" s="3" t="s">
        <v>24</v>
      </c>
      <c r="J4" s="3">
        <v>0.0</v>
      </c>
      <c r="K4" s="3">
        <v>1.0</v>
      </c>
      <c r="L4" s="3" t="s">
        <v>30</v>
      </c>
      <c r="M4" s="3" t="s">
        <v>31</v>
      </c>
      <c r="N4" s="3">
        <v>1.0</v>
      </c>
    </row>
    <row r="5">
      <c r="A5" s="2">
        <v>44063.39155988426</v>
      </c>
      <c r="B5" s="3" t="s">
        <v>32</v>
      </c>
      <c r="C5" s="3">
        <v>7963755.0</v>
      </c>
      <c r="D5" s="3" t="s">
        <v>33</v>
      </c>
      <c r="E5" s="4">
        <v>33998.0</v>
      </c>
      <c r="F5" s="3" t="s">
        <v>34</v>
      </c>
      <c r="G5" s="3">
        <v>73.0</v>
      </c>
      <c r="H5" s="3">
        <v>40.0</v>
      </c>
      <c r="I5" s="3" t="s">
        <v>17</v>
      </c>
      <c r="J5" s="3">
        <v>2.0</v>
      </c>
      <c r="K5" s="3">
        <v>2.0</v>
      </c>
      <c r="L5" s="3" t="s">
        <v>35</v>
      </c>
      <c r="M5" s="3" t="s">
        <v>36</v>
      </c>
      <c r="N5" s="3">
        <v>5.0</v>
      </c>
    </row>
    <row r="6">
      <c r="A6" s="2">
        <v>44063.40915690972</v>
      </c>
      <c r="B6" s="3" t="s">
        <v>37</v>
      </c>
      <c r="C6" s="3">
        <v>1.1782491E7</v>
      </c>
      <c r="D6" s="3" t="s">
        <v>38</v>
      </c>
      <c r="E6" s="4">
        <v>36949.0</v>
      </c>
      <c r="F6" s="3" t="s">
        <v>39</v>
      </c>
      <c r="G6" s="3">
        <v>58.0</v>
      </c>
      <c r="H6" s="3">
        <v>37.0</v>
      </c>
      <c r="I6" s="3" t="s">
        <v>24</v>
      </c>
      <c r="J6" s="3">
        <v>0.0</v>
      </c>
      <c r="K6" s="3">
        <v>1.0</v>
      </c>
      <c r="L6" s="3" t="s">
        <v>40</v>
      </c>
      <c r="M6" s="3" t="s">
        <v>41</v>
      </c>
      <c r="N6" s="3">
        <v>3.0</v>
      </c>
    </row>
    <row r="7">
      <c r="A7" s="2">
        <v>44063.42522719907</v>
      </c>
      <c r="B7" s="3" t="s">
        <v>42</v>
      </c>
      <c r="C7" s="3">
        <v>9893257.0</v>
      </c>
      <c r="D7" s="3" t="s">
        <v>43</v>
      </c>
      <c r="E7" s="4">
        <v>35948.0</v>
      </c>
      <c r="F7" s="3" t="s">
        <v>44</v>
      </c>
      <c r="G7" s="3">
        <v>93.0</v>
      </c>
      <c r="H7" s="3">
        <v>44.0</v>
      </c>
      <c r="I7" s="3" t="s">
        <v>17</v>
      </c>
      <c r="J7" s="3">
        <v>0.0</v>
      </c>
      <c r="K7" s="3">
        <v>1.0</v>
      </c>
      <c r="L7" s="3" t="s">
        <v>35</v>
      </c>
      <c r="M7" s="3" t="s">
        <v>45</v>
      </c>
      <c r="N7" s="3">
        <v>3.0</v>
      </c>
    </row>
    <row r="8">
      <c r="A8" s="2">
        <v>44064.349987511574</v>
      </c>
      <c r="B8" s="3" t="s">
        <v>46</v>
      </c>
      <c r="C8" s="3">
        <v>1.1851081E7</v>
      </c>
      <c r="D8" s="3" t="s">
        <v>47</v>
      </c>
      <c r="E8" s="4">
        <v>37146.0</v>
      </c>
      <c r="F8" s="3" t="s">
        <v>39</v>
      </c>
      <c r="G8" s="3">
        <v>65.0</v>
      </c>
      <c r="H8" s="3">
        <v>36.0</v>
      </c>
      <c r="I8" s="3" t="s">
        <v>24</v>
      </c>
      <c r="J8" s="3">
        <v>7.0</v>
      </c>
      <c r="K8" s="3">
        <v>3.0</v>
      </c>
      <c r="L8" s="3" t="s">
        <v>48</v>
      </c>
      <c r="M8" s="3" t="s">
        <v>49</v>
      </c>
      <c r="N8" s="3">
        <v>14.0</v>
      </c>
    </row>
    <row r="9">
      <c r="A9" s="2">
        <v>44063.46164916667</v>
      </c>
      <c r="B9" s="3" t="s">
        <v>50</v>
      </c>
      <c r="C9" s="3">
        <v>1.193183E7</v>
      </c>
      <c r="D9" s="3" t="s">
        <v>51</v>
      </c>
      <c r="E9" s="4">
        <v>37277.0</v>
      </c>
      <c r="F9" s="3" t="s">
        <v>52</v>
      </c>
      <c r="G9" s="3">
        <v>82.0</v>
      </c>
      <c r="H9" s="3">
        <v>42.0</v>
      </c>
      <c r="I9" s="3" t="s">
        <v>17</v>
      </c>
      <c r="J9" s="3">
        <v>0.0</v>
      </c>
      <c r="K9" s="3">
        <v>1.0</v>
      </c>
      <c r="L9" s="3" t="s">
        <v>53</v>
      </c>
      <c r="M9" s="3" t="s">
        <v>54</v>
      </c>
      <c r="N9" s="3">
        <v>3.0</v>
      </c>
    </row>
    <row r="10">
      <c r="A10" s="2">
        <v>44063.46739715278</v>
      </c>
      <c r="B10" s="3" t="s">
        <v>55</v>
      </c>
      <c r="C10" s="3">
        <v>1.1883243E7</v>
      </c>
      <c r="D10" s="3" t="s">
        <v>56</v>
      </c>
      <c r="E10" s="4">
        <v>37432.0</v>
      </c>
      <c r="F10" s="3" t="s">
        <v>57</v>
      </c>
      <c r="G10" s="3">
        <v>111.0</v>
      </c>
      <c r="H10" s="3">
        <v>42.0</v>
      </c>
      <c r="I10" s="3" t="s">
        <v>17</v>
      </c>
      <c r="J10" s="3">
        <v>11.0</v>
      </c>
      <c r="K10" s="3">
        <v>3.0</v>
      </c>
      <c r="L10" s="3" t="s">
        <v>58</v>
      </c>
      <c r="M10" s="3" t="s">
        <v>59</v>
      </c>
      <c r="N10" s="3">
        <v>36.0</v>
      </c>
    </row>
    <row r="11">
      <c r="A11" s="2">
        <v>44063.477245092596</v>
      </c>
      <c r="B11" s="3" t="s">
        <v>60</v>
      </c>
      <c r="C11" s="3">
        <v>1.184597E7</v>
      </c>
      <c r="D11" s="3" t="s">
        <v>61</v>
      </c>
      <c r="E11" s="4">
        <v>37347.0</v>
      </c>
      <c r="F11" s="3" t="s">
        <v>62</v>
      </c>
      <c r="G11" s="3">
        <v>85.0</v>
      </c>
      <c r="H11" s="3">
        <v>39.0</v>
      </c>
      <c r="I11" s="3" t="s">
        <v>24</v>
      </c>
      <c r="J11" s="3">
        <v>0.0</v>
      </c>
      <c r="K11" s="3">
        <v>1.0</v>
      </c>
      <c r="L11" s="3" t="s">
        <v>58</v>
      </c>
      <c r="M11" s="3" t="s">
        <v>63</v>
      </c>
      <c r="N11" s="3">
        <v>2.0</v>
      </c>
    </row>
    <row r="12">
      <c r="A12" s="2">
        <v>44063.48178444445</v>
      </c>
      <c r="B12" s="3" t="s">
        <v>64</v>
      </c>
      <c r="C12" s="3">
        <v>1.1782592E7</v>
      </c>
      <c r="D12" s="3" t="s">
        <v>65</v>
      </c>
      <c r="E12" s="4">
        <v>36970.0</v>
      </c>
      <c r="F12" s="3" t="s">
        <v>66</v>
      </c>
      <c r="G12" s="3">
        <v>80.0</v>
      </c>
      <c r="H12" s="3">
        <v>39.0</v>
      </c>
      <c r="I12" s="3" t="s">
        <v>24</v>
      </c>
      <c r="J12" s="3">
        <v>0.0</v>
      </c>
      <c r="K12" s="3">
        <v>2.0</v>
      </c>
      <c r="L12" s="3" t="s">
        <v>67</v>
      </c>
      <c r="M12" s="3" t="s">
        <v>68</v>
      </c>
      <c r="N12" s="3">
        <v>6.0</v>
      </c>
    </row>
    <row r="13">
      <c r="A13" s="2">
        <v>44063.486730081015</v>
      </c>
      <c r="B13" s="3" t="s">
        <v>69</v>
      </c>
      <c r="C13" s="3">
        <v>1.1913642E7</v>
      </c>
      <c r="D13" s="3" t="s">
        <v>70</v>
      </c>
      <c r="E13" s="4">
        <v>37075.0</v>
      </c>
      <c r="F13" s="3" t="s">
        <v>34</v>
      </c>
      <c r="G13" s="3">
        <v>66.0</v>
      </c>
      <c r="H13" s="3">
        <v>39.0</v>
      </c>
      <c r="I13" s="3" t="s">
        <v>24</v>
      </c>
      <c r="J13" s="3">
        <v>0.0</v>
      </c>
      <c r="K13" s="3">
        <v>1.0</v>
      </c>
      <c r="L13" s="3" t="s">
        <v>67</v>
      </c>
      <c r="M13" s="3" t="s">
        <v>71</v>
      </c>
      <c r="N13" s="3">
        <v>2.0</v>
      </c>
    </row>
    <row r="14">
      <c r="A14" s="2">
        <v>44063.49169826389</v>
      </c>
      <c r="B14" s="3" t="s">
        <v>72</v>
      </c>
      <c r="C14" s="3">
        <v>1.1847631E7</v>
      </c>
      <c r="D14" s="3" t="s">
        <v>73</v>
      </c>
      <c r="E14" s="4">
        <v>37435.0</v>
      </c>
      <c r="F14" s="3" t="s">
        <v>74</v>
      </c>
      <c r="G14" s="3">
        <v>70.0</v>
      </c>
      <c r="H14" s="3">
        <v>38.0</v>
      </c>
      <c r="I14" s="3" t="s">
        <v>24</v>
      </c>
      <c r="J14" s="3">
        <v>0.0</v>
      </c>
      <c r="K14" s="3">
        <v>1.0</v>
      </c>
      <c r="L14" s="3" t="s">
        <v>58</v>
      </c>
      <c r="M14" s="3" t="s">
        <v>71</v>
      </c>
      <c r="N14" s="3">
        <v>5.0</v>
      </c>
    </row>
    <row r="15">
      <c r="A15" s="2">
        <v>44063.509581018516</v>
      </c>
      <c r="B15" s="3" t="s">
        <v>75</v>
      </c>
      <c r="C15" s="3">
        <v>1.191139E7</v>
      </c>
      <c r="D15" s="3" t="s">
        <v>76</v>
      </c>
      <c r="E15" s="4">
        <v>34649.0</v>
      </c>
      <c r="F15" s="3" t="s">
        <v>34</v>
      </c>
      <c r="G15" s="3">
        <v>110.0</v>
      </c>
      <c r="H15" s="3">
        <v>42.0</v>
      </c>
      <c r="I15" s="3" t="s">
        <v>17</v>
      </c>
      <c r="J15" s="3">
        <v>16.0</v>
      </c>
      <c r="K15" s="3">
        <v>4.0</v>
      </c>
      <c r="L15" s="3" t="s">
        <v>77</v>
      </c>
      <c r="M15" s="3" t="s">
        <v>78</v>
      </c>
      <c r="N15" s="3">
        <v>30.0</v>
      </c>
    </row>
    <row r="16">
      <c r="A16" s="2">
        <v>44063.55385008102</v>
      </c>
      <c r="B16" s="3" t="s">
        <v>79</v>
      </c>
      <c r="C16" s="3">
        <v>1.178232E7</v>
      </c>
      <c r="D16" s="3" t="s">
        <v>80</v>
      </c>
      <c r="E16" s="4">
        <v>37175.0</v>
      </c>
      <c r="F16" s="3" t="s">
        <v>81</v>
      </c>
      <c r="G16" s="3">
        <v>62.0</v>
      </c>
      <c r="H16" s="3">
        <v>41.0</v>
      </c>
      <c r="I16" s="3" t="s">
        <v>17</v>
      </c>
      <c r="J16" s="3">
        <v>12.0</v>
      </c>
      <c r="K16" s="3">
        <v>4.0</v>
      </c>
      <c r="L16" s="3" t="s">
        <v>58</v>
      </c>
      <c r="M16" s="3" t="s">
        <v>59</v>
      </c>
      <c r="N16" s="3">
        <v>14.0</v>
      </c>
    </row>
    <row r="17">
      <c r="A17" s="2">
        <v>44063.58775811343</v>
      </c>
      <c r="B17" s="3" t="s">
        <v>82</v>
      </c>
      <c r="C17" s="3">
        <v>1.1931695E7</v>
      </c>
      <c r="D17" s="3" t="s">
        <v>83</v>
      </c>
      <c r="E17" s="4">
        <v>36946.0</v>
      </c>
      <c r="F17" s="3" t="s">
        <v>84</v>
      </c>
      <c r="G17" s="3">
        <v>56.0</v>
      </c>
      <c r="H17" s="3">
        <v>37.0</v>
      </c>
      <c r="I17" s="3" t="s">
        <v>24</v>
      </c>
      <c r="J17" s="3">
        <v>3.0</v>
      </c>
      <c r="K17" s="3">
        <v>3.0</v>
      </c>
      <c r="L17" s="3" t="s">
        <v>85</v>
      </c>
      <c r="M17" s="3" t="s">
        <v>49</v>
      </c>
      <c r="N17" s="3">
        <v>3.0</v>
      </c>
    </row>
    <row r="18">
      <c r="A18" s="2">
        <v>44063.59331430556</v>
      </c>
      <c r="B18" s="3" t="s">
        <v>86</v>
      </c>
      <c r="C18" s="3">
        <v>1.0871922E7</v>
      </c>
      <c r="D18" s="3" t="s">
        <v>87</v>
      </c>
      <c r="E18" s="4">
        <v>36283.0</v>
      </c>
      <c r="F18" s="3" t="s">
        <v>88</v>
      </c>
      <c r="G18" s="3">
        <v>73.0</v>
      </c>
      <c r="H18" s="3">
        <v>42.0</v>
      </c>
      <c r="I18" s="3" t="s">
        <v>17</v>
      </c>
      <c r="J18" s="3">
        <v>0.0</v>
      </c>
      <c r="K18" s="3">
        <v>2.0</v>
      </c>
      <c r="L18" s="3" t="s">
        <v>35</v>
      </c>
      <c r="M18" s="3" t="s">
        <v>89</v>
      </c>
      <c r="N18" s="3">
        <v>4.0</v>
      </c>
    </row>
    <row r="19">
      <c r="A19" s="2">
        <v>44063.61153715278</v>
      </c>
      <c r="B19" s="3" t="s">
        <v>90</v>
      </c>
      <c r="C19" s="3">
        <v>1.121622E7</v>
      </c>
      <c r="D19" s="3" t="s">
        <v>91</v>
      </c>
      <c r="E19" s="4">
        <v>37134.0</v>
      </c>
      <c r="F19" s="3" t="s">
        <v>29</v>
      </c>
      <c r="G19" s="3">
        <v>50.0</v>
      </c>
      <c r="H19" s="3">
        <v>35.0</v>
      </c>
      <c r="I19" s="3" t="s">
        <v>24</v>
      </c>
      <c r="J19" s="3">
        <v>4.0</v>
      </c>
      <c r="K19" s="3">
        <v>3.0</v>
      </c>
      <c r="L19" s="3" t="s">
        <v>35</v>
      </c>
      <c r="M19" s="3" t="s">
        <v>92</v>
      </c>
      <c r="N19" s="3">
        <v>17.0</v>
      </c>
    </row>
    <row r="20">
      <c r="A20" s="2">
        <v>44063.613896319446</v>
      </c>
      <c r="B20" s="3" t="s">
        <v>93</v>
      </c>
      <c r="C20" s="3">
        <v>1.185562E7</v>
      </c>
      <c r="D20" s="3" t="s">
        <v>94</v>
      </c>
      <c r="E20" s="4">
        <v>36159.0</v>
      </c>
      <c r="F20" s="3" t="s">
        <v>95</v>
      </c>
      <c r="G20" s="3">
        <v>63.0</v>
      </c>
      <c r="H20" s="3">
        <v>41.0</v>
      </c>
      <c r="I20" s="3" t="s">
        <v>17</v>
      </c>
      <c r="J20" s="3">
        <v>14.0</v>
      </c>
      <c r="K20" s="3">
        <v>3.0</v>
      </c>
      <c r="L20" s="3" t="s">
        <v>48</v>
      </c>
      <c r="M20" s="3" t="s">
        <v>59</v>
      </c>
      <c r="N20" s="3">
        <v>10.0</v>
      </c>
    </row>
    <row r="21">
      <c r="A21" s="2">
        <v>44063.62332277778</v>
      </c>
      <c r="B21" s="3" t="s">
        <v>96</v>
      </c>
      <c r="C21" s="3">
        <v>1.178247E7</v>
      </c>
      <c r="D21" s="3" t="s">
        <v>97</v>
      </c>
      <c r="E21" s="4">
        <v>35444.0</v>
      </c>
      <c r="F21" s="3" t="s">
        <v>98</v>
      </c>
      <c r="G21" s="3">
        <v>52.0</v>
      </c>
      <c r="H21" s="3">
        <v>38.0</v>
      </c>
      <c r="I21" s="3" t="s">
        <v>24</v>
      </c>
      <c r="J21" s="3">
        <v>0.0</v>
      </c>
      <c r="K21" s="3">
        <v>1.0</v>
      </c>
      <c r="L21" s="3" t="s">
        <v>58</v>
      </c>
      <c r="M21" s="3" t="s">
        <v>99</v>
      </c>
      <c r="N21" s="3">
        <v>5.0</v>
      </c>
    </row>
    <row r="22">
      <c r="A22" s="2">
        <v>44063.62556559028</v>
      </c>
      <c r="B22" s="3" t="s">
        <v>100</v>
      </c>
      <c r="C22" s="3">
        <v>4763110.0</v>
      </c>
      <c r="D22" s="3" t="s">
        <v>101</v>
      </c>
      <c r="E22" s="4">
        <v>37130.0</v>
      </c>
      <c r="F22" s="3" t="s">
        <v>88</v>
      </c>
      <c r="G22" s="3">
        <v>76.0</v>
      </c>
      <c r="H22" s="3">
        <v>42.0</v>
      </c>
      <c r="I22" s="3" t="s">
        <v>17</v>
      </c>
      <c r="J22" s="3">
        <v>1.0</v>
      </c>
      <c r="K22" s="3">
        <v>2.0</v>
      </c>
      <c r="L22" s="3" t="s">
        <v>67</v>
      </c>
      <c r="M22" s="3" t="s">
        <v>36</v>
      </c>
      <c r="N22" s="3">
        <v>9.0</v>
      </c>
    </row>
    <row r="23">
      <c r="A23" s="2">
        <v>44063.62699618055</v>
      </c>
      <c r="B23" s="3" t="s">
        <v>102</v>
      </c>
      <c r="C23" s="3">
        <v>1.1908927E7</v>
      </c>
      <c r="D23" s="3" t="s">
        <v>103</v>
      </c>
      <c r="E23" s="4">
        <v>37176.0</v>
      </c>
      <c r="F23" s="3" t="s">
        <v>104</v>
      </c>
      <c r="G23" s="3">
        <v>68.0</v>
      </c>
      <c r="H23" s="3">
        <v>39.0</v>
      </c>
      <c r="I23" s="3" t="s">
        <v>17</v>
      </c>
      <c r="J23" s="3">
        <v>13.0</v>
      </c>
      <c r="K23" s="3">
        <v>3.0</v>
      </c>
      <c r="L23" s="3" t="s">
        <v>105</v>
      </c>
      <c r="M23" s="3" t="s">
        <v>106</v>
      </c>
      <c r="N23" s="3">
        <v>10.0</v>
      </c>
    </row>
    <row r="24">
      <c r="A24" s="2">
        <v>44063.6279325463</v>
      </c>
      <c r="B24" s="3" t="s">
        <v>107</v>
      </c>
      <c r="C24" s="3">
        <v>1.178264E7</v>
      </c>
      <c r="D24" s="3" t="s">
        <v>108</v>
      </c>
      <c r="E24" s="4">
        <v>37484.0</v>
      </c>
      <c r="F24" s="3" t="s">
        <v>34</v>
      </c>
      <c r="G24" s="3" t="s">
        <v>109</v>
      </c>
      <c r="H24" s="3">
        <v>39.0</v>
      </c>
      <c r="I24" s="3" t="s">
        <v>17</v>
      </c>
      <c r="J24" s="3">
        <v>12.0</v>
      </c>
      <c r="K24" s="3">
        <v>4.0</v>
      </c>
      <c r="L24" s="3" t="s">
        <v>67</v>
      </c>
      <c r="M24" s="3" t="s">
        <v>59</v>
      </c>
      <c r="N24" s="3">
        <v>12.0</v>
      </c>
    </row>
    <row r="25">
      <c r="A25" s="2">
        <v>44063.63601710648</v>
      </c>
      <c r="B25" s="3" t="s">
        <v>110</v>
      </c>
      <c r="C25" s="3">
        <v>1.1910941E7</v>
      </c>
      <c r="D25" s="3" t="s">
        <v>111</v>
      </c>
      <c r="E25" s="4">
        <v>36997.0</v>
      </c>
      <c r="F25" s="3" t="s">
        <v>34</v>
      </c>
      <c r="G25" s="3">
        <v>67.0</v>
      </c>
      <c r="H25" s="3">
        <v>41.0</v>
      </c>
      <c r="I25" s="3" t="s">
        <v>17</v>
      </c>
      <c r="J25" s="3">
        <v>14.0</v>
      </c>
      <c r="K25" s="3">
        <v>5.0</v>
      </c>
      <c r="L25" s="3" t="s">
        <v>112</v>
      </c>
      <c r="M25" s="3" t="s">
        <v>113</v>
      </c>
      <c r="N25" s="3">
        <v>15.0</v>
      </c>
    </row>
    <row r="26">
      <c r="A26" s="2">
        <v>44063.63942228009</v>
      </c>
      <c r="B26" s="3" t="s">
        <v>114</v>
      </c>
      <c r="C26" s="3">
        <v>1.1782334E7</v>
      </c>
      <c r="D26" s="3" t="s">
        <v>115</v>
      </c>
      <c r="E26" s="4">
        <v>37337.0</v>
      </c>
      <c r="F26" s="3" t="s">
        <v>116</v>
      </c>
      <c r="G26" s="3">
        <v>83.0</v>
      </c>
      <c r="H26" s="3">
        <v>45.0</v>
      </c>
      <c r="I26" s="3" t="s">
        <v>17</v>
      </c>
      <c r="J26" s="3">
        <v>9.0</v>
      </c>
      <c r="K26" s="3">
        <v>4.0</v>
      </c>
      <c r="L26" s="3" t="s">
        <v>117</v>
      </c>
      <c r="M26" s="3" t="s">
        <v>89</v>
      </c>
      <c r="N26" s="3">
        <v>11.0</v>
      </c>
    </row>
    <row r="27">
      <c r="A27" s="2">
        <v>44063.67135887731</v>
      </c>
      <c r="B27" s="3" t="s">
        <v>118</v>
      </c>
      <c r="C27" s="3">
        <v>1.1782504E7</v>
      </c>
      <c r="D27" s="3" t="s">
        <v>119</v>
      </c>
      <c r="E27" s="4">
        <v>37442.0</v>
      </c>
      <c r="F27" s="3" t="s">
        <v>120</v>
      </c>
      <c r="G27" s="3">
        <v>64.0</v>
      </c>
      <c r="H27" s="3">
        <v>39.0</v>
      </c>
      <c r="I27" s="3" t="s">
        <v>17</v>
      </c>
      <c r="J27" s="3">
        <v>11.0</v>
      </c>
      <c r="K27" s="3">
        <v>5.0</v>
      </c>
      <c r="L27" s="3" t="s">
        <v>67</v>
      </c>
      <c r="M27" s="3" t="s">
        <v>59</v>
      </c>
      <c r="N27" s="3">
        <v>22.0</v>
      </c>
    </row>
    <row r="28">
      <c r="A28" s="2">
        <v>44063.671855312496</v>
      </c>
      <c r="B28" s="3" t="s">
        <v>121</v>
      </c>
      <c r="C28" s="3">
        <v>1.1847781E7</v>
      </c>
      <c r="D28" s="3" t="s">
        <v>122</v>
      </c>
      <c r="E28" s="4">
        <v>33272.0</v>
      </c>
      <c r="F28" s="3" t="s">
        <v>120</v>
      </c>
      <c r="G28" s="3">
        <v>55.0</v>
      </c>
      <c r="H28" s="3">
        <v>37.0</v>
      </c>
      <c r="I28" s="3" t="s">
        <v>24</v>
      </c>
      <c r="J28" s="3">
        <v>0.0</v>
      </c>
      <c r="K28" s="3">
        <v>1.0</v>
      </c>
      <c r="L28" s="3" t="s">
        <v>35</v>
      </c>
      <c r="M28" s="3" t="s">
        <v>123</v>
      </c>
      <c r="N28" s="3">
        <v>0.0</v>
      </c>
    </row>
    <row r="29">
      <c r="A29" s="2">
        <v>44063.681541770835</v>
      </c>
      <c r="B29" s="3" t="s">
        <v>124</v>
      </c>
      <c r="C29" s="3">
        <v>1.191644E7</v>
      </c>
      <c r="D29" s="3" t="s">
        <v>125</v>
      </c>
      <c r="E29" s="4">
        <v>36876.0</v>
      </c>
      <c r="F29" s="3" t="s">
        <v>16</v>
      </c>
      <c r="G29" s="3">
        <v>68.0</v>
      </c>
      <c r="H29" s="3">
        <v>42.0</v>
      </c>
      <c r="I29" s="3" t="s">
        <v>17</v>
      </c>
      <c r="J29" s="3">
        <v>15.0</v>
      </c>
      <c r="K29" s="3">
        <v>4.0</v>
      </c>
      <c r="L29" s="3" t="s">
        <v>126</v>
      </c>
      <c r="M29" s="3" t="s">
        <v>78</v>
      </c>
      <c r="N29" s="3">
        <v>7.0</v>
      </c>
    </row>
    <row r="30">
      <c r="A30" s="2">
        <v>44063.68493481481</v>
      </c>
      <c r="B30" s="3" t="s">
        <v>127</v>
      </c>
      <c r="C30" s="3">
        <v>1.1911744E7</v>
      </c>
      <c r="D30" s="3" t="s">
        <v>128</v>
      </c>
      <c r="E30" s="4">
        <v>36073.0</v>
      </c>
      <c r="F30" s="3" t="s">
        <v>129</v>
      </c>
      <c r="G30" s="3">
        <v>54.0</v>
      </c>
      <c r="H30" s="3">
        <v>36.0</v>
      </c>
      <c r="I30" s="3" t="s">
        <v>24</v>
      </c>
      <c r="J30" s="3">
        <v>0.0</v>
      </c>
      <c r="K30" s="3">
        <v>1.0</v>
      </c>
      <c r="L30" s="3" t="s">
        <v>18</v>
      </c>
      <c r="M30" s="3" t="s">
        <v>130</v>
      </c>
      <c r="N30" s="3">
        <v>2.0</v>
      </c>
    </row>
    <row r="31">
      <c r="A31" s="2">
        <v>44063.71314129629</v>
      </c>
      <c r="B31" s="3" t="s">
        <v>131</v>
      </c>
      <c r="C31" s="3">
        <v>1.1782675E7</v>
      </c>
      <c r="D31" s="3" t="s">
        <v>132</v>
      </c>
      <c r="E31" s="4">
        <v>37352.0</v>
      </c>
      <c r="F31" s="3" t="s">
        <v>88</v>
      </c>
      <c r="G31" s="3">
        <v>90.0</v>
      </c>
      <c r="H31" s="3">
        <v>41.0</v>
      </c>
      <c r="I31" s="3" t="s">
        <v>17</v>
      </c>
      <c r="J31" s="3">
        <v>10.0</v>
      </c>
      <c r="K31" s="3">
        <v>2.0</v>
      </c>
      <c r="L31" s="3" t="s">
        <v>67</v>
      </c>
      <c r="M31" s="3" t="s">
        <v>89</v>
      </c>
      <c r="N31" s="3">
        <v>5.0</v>
      </c>
    </row>
    <row r="32">
      <c r="A32" s="2">
        <v>44063.716451562505</v>
      </c>
      <c r="B32" s="3" t="s">
        <v>133</v>
      </c>
      <c r="C32" s="3">
        <v>9389511.0</v>
      </c>
      <c r="D32" s="3" t="s">
        <v>134</v>
      </c>
      <c r="E32" s="4">
        <v>34544.0</v>
      </c>
      <c r="F32" s="3" t="s">
        <v>135</v>
      </c>
      <c r="G32" s="3">
        <v>85.0</v>
      </c>
      <c r="H32" s="3">
        <v>39.0</v>
      </c>
      <c r="I32" s="3" t="s">
        <v>24</v>
      </c>
      <c r="J32" s="3">
        <v>0.0</v>
      </c>
      <c r="K32" s="3">
        <v>1.0</v>
      </c>
      <c r="L32" s="3" t="s">
        <v>136</v>
      </c>
      <c r="M32" s="3" t="s">
        <v>137</v>
      </c>
      <c r="N32" s="3">
        <v>5.0</v>
      </c>
    </row>
    <row r="33">
      <c r="A33" s="2">
        <v>44063.74227112268</v>
      </c>
      <c r="B33" s="3" t="s">
        <v>138</v>
      </c>
      <c r="C33" s="3">
        <v>1.1782442E7</v>
      </c>
      <c r="D33" s="3" t="s">
        <v>139</v>
      </c>
      <c r="E33" s="4">
        <v>36829.0</v>
      </c>
      <c r="F33" s="3" t="s">
        <v>81</v>
      </c>
      <c r="G33" s="3">
        <v>80.0</v>
      </c>
      <c r="H33" s="3">
        <v>41.0</v>
      </c>
      <c r="I33" s="3" t="s">
        <v>17</v>
      </c>
      <c r="J33" s="3">
        <v>15.0</v>
      </c>
      <c r="K33" s="3">
        <v>4.0</v>
      </c>
      <c r="L33" s="3" t="s">
        <v>35</v>
      </c>
      <c r="M33" s="3" t="s">
        <v>59</v>
      </c>
      <c r="N33" s="3">
        <v>13.0</v>
      </c>
    </row>
    <row r="34">
      <c r="A34" s="2">
        <v>44063.74553571759</v>
      </c>
      <c r="B34" s="3" t="s">
        <v>140</v>
      </c>
      <c r="C34" s="3">
        <v>1.1908545E7</v>
      </c>
      <c r="D34" s="3" t="s">
        <v>141</v>
      </c>
      <c r="E34" s="4">
        <v>37375.0</v>
      </c>
      <c r="F34" s="3" t="s">
        <v>34</v>
      </c>
      <c r="G34" s="3">
        <v>90.0</v>
      </c>
      <c r="H34" s="3">
        <v>41.0</v>
      </c>
      <c r="I34" s="3" t="s">
        <v>17</v>
      </c>
      <c r="J34" s="3">
        <v>10.0</v>
      </c>
      <c r="K34" s="3">
        <v>3.0</v>
      </c>
      <c r="L34" s="3" t="s">
        <v>67</v>
      </c>
      <c r="M34" s="3" t="s">
        <v>113</v>
      </c>
      <c r="N34" s="3">
        <v>5.0</v>
      </c>
    </row>
    <row r="35">
      <c r="A35" s="2">
        <v>44063.78944179398</v>
      </c>
      <c r="B35" s="3" t="s">
        <v>142</v>
      </c>
      <c r="C35" s="3">
        <v>1.0882229E7</v>
      </c>
      <c r="D35" s="3" t="s">
        <v>143</v>
      </c>
      <c r="E35" s="4">
        <v>36213.0</v>
      </c>
      <c r="F35" s="3" t="s">
        <v>74</v>
      </c>
      <c r="G35" s="3">
        <v>55.0</v>
      </c>
      <c r="H35" s="3">
        <v>40.0</v>
      </c>
      <c r="I35" s="3" t="s">
        <v>17</v>
      </c>
      <c r="J35" s="3">
        <v>14.0</v>
      </c>
      <c r="K35" s="3">
        <v>3.0</v>
      </c>
      <c r="L35" s="3" t="s">
        <v>58</v>
      </c>
      <c r="M35" s="3" t="s">
        <v>113</v>
      </c>
      <c r="N35" s="3">
        <v>48.0</v>
      </c>
    </row>
    <row r="36">
      <c r="A36" s="2">
        <v>44063.79232703704</v>
      </c>
      <c r="B36" s="3" t="s">
        <v>144</v>
      </c>
      <c r="C36" s="3">
        <v>1.1782459E7</v>
      </c>
      <c r="D36" s="3" t="s">
        <v>145</v>
      </c>
      <c r="E36" s="4">
        <v>37251.0</v>
      </c>
      <c r="F36" s="3" t="s">
        <v>81</v>
      </c>
      <c r="G36" s="3">
        <v>100.0</v>
      </c>
      <c r="H36" s="3">
        <v>42.0</v>
      </c>
      <c r="I36" s="3" t="s">
        <v>17</v>
      </c>
      <c r="J36" s="3">
        <v>0.0</v>
      </c>
      <c r="K36" s="3">
        <v>2.0</v>
      </c>
      <c r="L36" s="3" t="s">
        <v>85</v>
      </c>
      <c r="M36" s="3" t="s">
        <v>130</v>
      </c>
      <c r="N36" s="3">
        <v>3.0</v>
      </c>
    </row>
    <row r="37">
      <c r="A37" s="2">
        <v>44063.81461743056</v>
      </c>
      <c r="B37" s="3" t="s">
        <v>146</v>
      </c>
      <c r="C37" s="3">
        <v>9922418.0</v>
      </c>
      <c r="D37" s="3" t="s">
        <v>147</v>
      </c>
      <c r="E37" s="4">
        <v>35901.0</v>
      </c>
      <c r="F37" s="3" t="s">
        <v>88</v>
      </c>
      <c r="G37" s="3">
        <v>72.0</v>
      </c>
      <c r="H37" s="3">
        <v>41.0</v>
      </c>
      <c r="I37" s="3" t="s">
        <v>17</v>
      </c>
      <c r="J37" s="3">
        <v>12.0</v>
      </c>
      <c r="K37" s="3">
        <v>4.0</v>
      </c>
      <c r="L37" s="3" t="s">
        <v>35</v>
      </c>
      <c r="M37" s="3" t="s">
        <v>49</v>
      </c>
      <c r="N37" s="3">
        <v>21.0</v>
      </c>
    </row>
    <row r="38">
      <c r="A38" s="2">
        <v>44063.815096770835</v>
      </c>
      <c r="B38" s="3" t="s">
        <v>148</v>
      </c>
      <c r="C38" s="3">
        <v>1.1837689E7</v>
      </c>
      <c r="D38" s="3" t="s">
        <v>149</v>
      </c>
      <c r="E38" s="4">
        <v>37207.0</v>
      </c>
      <c r="F38" s="3" t="s">
        <v>150</v>
      </c>
      <c r="G38" s="3">
        <v>59.0</v>
      </c>
      <c r="H38" s="3">
        <v>37.0</v>
      </c>
      <c r="I38" s="3" t="s">
        <v>24</v>
      </c>
      <c r="J38" s="3">
        <v>1.0</v>
      </c>
      <c r="K38" s="3">
        <v>1.0</v>
      </c>
      <c r="L38" s="3" t="s">
        <v>58</v>
      </c>
      <c r="M38" s="3" t="s">
        <v>89</v>
      </c>
      <c r="N38" s="3">
        <v>5.0</v>
      </c>
    </row>
    <row r="39">
      <c r="A39" s="2">
        <v>44063.81580737268</v>
      </c>
      <c r="B39" s="3" t="s">
        <v>151</v>
      </c>
      <c r="C39" s="3">
        <v>1.079776E7</v>
      </c>
      <c r="D39" s="3" t="s">
        <v>152</v>
      </c>
      <c r="E39" s="4">
        <v>34408.0</v>
      </c>
      <c r="F39" s="3" t="s">
        <v>153</v>
      </c>
      <c r="G39" s="3">
        <v>67.0</v>
      </c>
      <c r="H39" s="3">
        <v>41.0</v>
      </c>
      <c r="I39" s="3" t="s">
        <v>17</v>
      </c>
      <c r="J39" s="3">
        <v>20.0</v>
      </c>
      <c r="K39" s="3">
        <v>3.0</v>
      </c>
      <c r="L39" s="3" t="s">
        <v>154</v>
      </c>
      <c r="M39" s="3" t="s">
        <v>155</v>
      </c>
      <c r="N39" s="3">
        <v>17.0</v>
      </c>
    </row>
    <row r="40">
      <c r="A40" s="2">
        <v>44063.82144002315</v>
      </c>
      <c r="B40" s="3" t="s">
        <v>156</v>
      </c>
      <c r="C40" s="3">
        <v>1.1895312E7</v>
      </c>
      <c r="D40" s="3" t="s">
        <v>157</v>
      </c>
      <c r="E40" s="4">
        <v>35179.0</v>
      </c>
      <c r="F40" s="3" t="s">
        <v>57</v>
      </c>
      <c r="G40" s="3">
        <v>104.0</v>
      </c>
      <c r="H40" s="3">
        <v>44.0</v>
      </c>
      <c r="I40" s="3" t="s">
        <v>17</v>
      </c>
      <c r="J40" s="3">
        <v>2.0</v>
      </c>
      <c r="K40" s="3">
        <v>1.0</v>
      </c>
      <c r="L40" s="3" t="s">
        <v>158</v>
      </c>
      <c r="M40" s="3" t="s">
        <v>159</v>
      </c>
      <c r="N40" s="3">
        <v>3.0</v>
      </c>
    </row>
    <row r="41">
      <c r="A41" s="2">
        <v>44063.83981443287</v>
      </c>
      <c r="B41" s="3" t="s">
        <v>160</v>
      </c>
      <c r="C41" s="3">
        <v>1.1954075E7</v>
      </c>
      <c r="D41" s="3" t="s">
        <v>161</v>
      </c>
      <c r="E41" s="4">
        <v>37036.0</v>
      </c>
      <c r="F41" s="3" t="s">
        <v>162</v>
      </c>
      <c r="G41" s="3">
        <v>50.0</v>
      </c>
      <c r="H41" s="3">
        <v>36.0</v>
      </c>
      <c r="I41" s="3" t="s">
        <v>24</v>
      </c>
      <c r="J41" s="3">
        <v>2.0</v>
      </c>
      <c r="K41" s="3">
        <v>3.0</v>
      </c>
      <c r="L41" s="3" t="s">
        <v>40</v>
      </c>
      <c r="M41" s="3" t="s">
        <v>89</v>
      </c>
      <c r="N41" s="3">
        <v>3.0</v>
      </c>
    </row>
    <row r="42">
      <c r="A42" s="2">
        <v>44063.83850615741</v>
      </c>
      <c r="B42" s="3" t="s">
        <v>163</v>
      </c>
      <c r="C42" s="3">
        <v>1.1782654E7</v>
      </c>
      <c r="D42" s="3" t="s">
        <v>164</v>
      </c>
      <c r="E42" s="4">
        <v>36762.0</v>
      </c>
      <c r="F42" s="3" t="s">
        <v>57</v>
      </c>
      <c r="G42" s="3">
        <v>75.0</v>
      </c>
      <c r="H42" s="3">
        <v>41.0</v>
      </c>
      <c r="I42" s="3" t="s">
        <v>17</v>
      </c>
      <c r="J42" s="3">
        <v>0.0</v>
      </c>
      <c r="K42" s="3">
        <v>1.0</v>
      </c>
      <c r="L42" s="3" t="s">
        <v>165</v>
      </c>
      <c r="M42" s="3" t="s">
        <v>166</v>
      </c>
      <c r="N42" s="3">
        <v>2.0</v>
      </c>
    </row>
    <row r="43">
      <c r="A43" s="2">
        <v>44063.865231689815</v>
      </c>
      <c r="B43" s="3" t="s">
        <v>167</v>
      </c>
      <c r="C43" s="3">
        <v>1.1839184E7</v>
      </c>
      <c r="D43" s="3" t="s">
        <v>168</v>
      </c>
      <c r="E43" s="4">
        <v>37532.0</v>
      </c>
      <c r="F43" s="3" t="s">
        <v>120</v>
      </c>
      <c r="G43" s="3">
        <v>50.0</v>
      </c>
      <c r="H43" s="3">
        <v>37.0</v>
      </c>
      <c r="I43" s="3" t="s">
        <v>24</v>
      </c>
      <c r="J43" s="3">
        <v>0.0</v>
      </c>
      <c r="K43" s="3">
        <v>1.0</v>
      </c>
      <c r="L43" s="3" t="s">
        <v>18</v>
      </c>
      <c r="M43" s="3" t="s">
        <v>166</v>
      </c>
      <c r="N43" s="3">
        <v>2.0</v>
      </c>
    </row>
    <row r="44">
      <c r="A44" s="2">
        <v>44063.88101372685</v>
      </c>
      <c r="B44" s="3" t="s">
        <v>169</v>
      </c>
      <c r="C44" s="3">
        <v>1.1917692E7</v>
      </c>
      <c r="D44" s="3" t="s">
        <v>170</v>
      </c>
      <c r="E44" s="4">
        <v>37027.0</v>
      </c>
      <c r="F44" s="3" t="s">
        <v>74</v>
      </c>
      <c r="G44" s="3">
        <v>62.0</v>
      </c>
      <c r="H44" s="3">
        <v>38.0</v>
      </c>
      <c r="I44" s="3" t="s">
        <v>24</v>
      </c>
      <c r="J44" s="3">
        <v>3.0</v>
      </c>
      <c r="K44" s="3">
        <v>2.0</v>
      </c>
      <c r="L44" s="3" t="s">
        <v>58</v>
      </c>
      <c r="M44" s="3" t="s">
        <v>137</v>
      </c>
      <c r="N44" s="3">
        <v>11.0</v>
      </c>
    </row>
    <row r="45">
      <c r="A45" s="2">
        <v>44063.882203182875</v>
      </c>
      <c r="B45" s="3" t="s">
        <v>171</v>
      </c>
      <c r="C45" s="3">
        <v>1.1782376E7</v>
      </c>
      <c r="D45" s="3" t="s">
        <v>172</v>
      </c>
      <c r="E45" s="4">
        <v>37246.0</v>
      </c>
      <c r="F45" s="3" t="s">
        <v>129</v>
      </c>
      <c r="G45" s="3">
        <v>68.0</v>
      </c>
      <c r="H45" s="3">
        <v>39.0</v>
      </c>
      <c r="I45" s="3" t="s">
        <v>24</v>
      </c>
      <c r="J45" s="3">
        <v>0.0</v>
      </c>
      <c r="K45" s="3">
        <v>2.0</v>
      </c>
      <c r="L45" s="3" t="s">
        <v>67</v>
      </c>
      <c r="M45" s="3" t="s">
        <v>59</v>
      </c>
      <c r="N45" s="3">
        <v>9.0</v>
      </c>
    </row>
    <row r="46">
      <c r="A46" s="2">
        <v>44063.88777195602</v>
      </c>
      <c r="B46" s="3" t="s">
        <v>173</v>
      </c>
      <c r="C46" s="3">
        <v>1.1782484E7</v>
      </c>
      <c r="D46" s="3" t="s">
        <v>174</v>
      </c>
      <c r="E46" s="4">
        <v>37313.0</v>
      </c>
      <c r="F46" s="3" t="s">
        <v>175</v>
      </c>
      <c r="G46" s="3">
        <v>102.0</v>
      </c>
      <c r="H46" s="3">
        <v>43.0</v>
      </c>
      <c r="I46" s="3" t="s">
        <v>17</v>
      </c>
      <c r="J46" s="3">
        <v>4.0</v>
      </c>
      <c r="K46" s="3">
        <v>2.0</v>
      </c>
      <c r="L46" s="3" t="s">
        <v>67</v>
      </c>
      <c r="M46" s="3" t="s">
        <v>176</v>
      </c>
      <c r="N46" s="3">
        <v>4.0</v>
      </c>
    </row>
    <row r="47">
      <c r="A47" s="2">
        <v>44063.92590731481</v>
      </c>
      <c r="B47" s="3" t="s">
        <v>177</v>
      </c>
      <c r="C47" s="3">
        <v>8003237.0</v>
      </c>
      <c r="D47" s="3" t="s">
        <v>178</v>
      </c>
      <c r="E47" s="4">
        <v>34782.0</v>
      </c>
      <c r="F47" s="3" t="s">
        <v>179</v>
      </c>
      <c r="G47" s="3">
        <v>70.0</v>
      </c>
      <c r="H47" s="3">
        <v>36.0</v>
      </c>
      <c r="I47" s="3" t="s">
        <v>24</v>
      </c>
      <c r="J47" s="3">
        <v>0.0</v>
      </c>
      <c r="K47" s="3">
        <v>1.0</v>
      </c>
      <c r="L47" s="3" t="s">
        <v>18</v>
      </c>
      <c r="M47" s="3" t="s">
        <v>180</v>
      </c>
      <c r="N47" s="3">
        <v>3.0</v>
      </c>
    </row>
    <row r="48">
      <c r="A48" s="2">
        <v>44063.943195960645</v>
      </c>
      <c r="B48" s="3" t="s">
        <v>181</v>
      </c>
      <c r="C48" s="3">
        <v>1.1846992E7</v>
      </c>
      <c r="D48" s="3" t="s">
        <v>182</v>
      </c>
      <c r="E48" s="4">
        <v>36950.0</v>
      </c>
      <c r="F48" s="3" t="s">
        <v>39</v>
      </c>
      <c r="G48" s="3">
        <v>57.0</v>
      </c>
      <c r="H48" s="3">
        <v>35.0</v>
      </c>
      <c r="I48" s="3" t="s">
        <v>24</v>
      </c>
      <c r="J48" s="3">
        <v>0.0</v>
      </c>
      <c r="K48" s="3">
        <v>1.0</v>
      </c>
      <c r="L48" s="3" t="s">
        <v>58</v>
      </c>
      <c r="M48" s="3" t="s">
        <v>183</v>
      </c>
      <c r="N48" s="3">
        <v>3.0</v>
      </c>
    </row>
    <row r="49">
      <c r="A49" s="2">
        <v>44063.96853665509</v>
      </c>
      <c r="B49" s="3" t="s">
        <v>184</v>
      </c>
      <c r="C49" s="3">
        <v>1.1368575E7</v>
      </c>
      <c r="D49" s="3" t="s">
        <v>185</v>
      </c>
      <c r="E49" s="4">
        <v>36550.0</v>
      </c>
      <c r="F49" s="3" t="s">
        <v>84</v>
      </c>
      <c r="G49" s="3">
        <v>68.0</v>
      </c>
      <c r="H49" s="3">
        <v>37.0</v>
      </c>
      <c r="I49" s="3" t="s">
        <v>24</v>
      </c>
      <c r="J49" s="3">
        <v>6.0</v>
      </c>
      <c r="K49" s="3">
        <v>3.0</v>
      </c>
      <c r="L49" s="3" t="s">
        <v>186</v>
      </c>
      <c r="M49" s="3" t="s">
        <v>89</v>
      </c>
      <c r="N49" s="3">
        <v>9.0</v>
      </c>
    </row>
    <row r="50">
      <c r="A50" s="2">
        <v>44063.98110300926</v>
      </c>
      <c r="B50" s="3" t="s">
        <v>187</v>
      </c>
      <c r="C50" s="3">
        <v>1.1782661E7</v>
      </c>
      <c r="D50" s="3" t="s">
        <v>188</v>
      </c>
      <c r="E50" s="4">
        <v>37211.0</v>
      </c>
      <c r="F50" s="3" t="s">
        <v>104</v>
      </c>
      <c r="G50" s="3">
        <v>79.0</v>
      </c>
      <c r="H50" s="3">
        <v>42.0</v>
      </c>
      <c r="I50" s="3" t="s">
        <v>17</v>
      </c>
      <c r="J50" s="3">
        <v>1.0</v>
      </c>
      <c r="K50" s="3">
        <v>2.0</v>
      </c>
      <c r="L50" s="3" t="s">
        <v>35</v>
      </c>
      <c r="M50" s="3" t="s">
        <v>189</v>
      </c>
      <c r="N50" s="3">
        <v>5.0</v>
      </c>
    </row>
    <row r="51">
      <c r="A51" s="2">
        <v>44063.99176711806</v>
      </c>
      <c r="B51" s="3" t="s">
        <v>190</v>
      </c>
      <c r="C51" s="3">
        <v>1.1782567E7</v>
      </c>
      <c r="D51" s="3" t="s">
        <v>191</v>
      </c>
      <c r="E51" s="4">
        <v>37420.0</v>
      </c>
      <c r="F51" s="3" t="s">
        <v>98</v>
      </c>
      <c r="G51" s="3">
        <v>62.0</v>
      </c>
      <c r="H51" s="3">
        <v>37.0</v>
      </c>
      <c r="I51" s="3" t="s">
        <v>24</v>
      </c>
      <c r="J51" s="3">
        <v>1.0</v>
      </c>
      <c r="K51" s="3">
        <v>3.0</v>
      </c>
      <c r="L51" s="3" t="s">
        <v>35</v>
      </c>
      <c r="M51" s="3" t="s">
        <v>59</v>
      </c>
      <c r="N51" s="3">
        <v>10.0</v>
      </c>
    </row>
    <row r="52">
      <c r="A52" s="2">
        <v>44064.068382349535</v>
      </c>
      <c r="B52" s="3" t="s">
        <v>192</v>
      </c>
      <c r="C52" s="3">
        <v>1.1855679E7</v>
      </c>
      <c r="D52" s="3" t="s">
        <v>193</v>
      </c>
      <c r="E52" s="4">
        <v>37386.0</v>
      </c>
      <c r="F52" s="3" t="s">
        <v>194</v>
      </c>
      <c r="G52" s="3">
        <v>72.0</v>
      </c>
      <c r="H52" s="3">
        <v>40.0</v>
      </c>
      <c r="I52" s="3" t="s">
        <v>17</v>
      </c>
      <c r="J52" s="3">
        <v>9.0</v>
      </c>
      <c r="K52" s="3">
        <v>3.0</v>
      </c>
      <c r="L52" s="3" t="s">
        <v>195</v>
      </c>
      <c r="M52" s="3" t="s">
        <v>49</v>
      </c>
      <c r="N52" s="3">
        <v>33.0</v>
      </c>
    </row>
    <row r="53">
      <c r="A53" s="2">
        <v>44064.344141388894</v>
      </c>
      <c r="B53" s="3" t="s">
        <v>196</v>
      </c>
      <c r="C53" s="3">
        <v>1.1847965E7</v>
      </c>
      <c r="D53" s="3" t="s">
        <v>197</v>
      </c>
      <c r="E53" s="4">
        <v>37112.0</v>
      </c>
      <c r="F53" s="3" t="s">
        <v>104</v>
      </c>
      <c r="G53" s="3">
        <v>59.0</v>
      </c>
      <c r="H53" s="3">
        <v>40.0</v>
      </c>
      <c r="I53" s="3" t="s">
        <v>17</v>
      </c>
      <c r="J53" s="3">
        <v>13.0</v>
      </c>
      <c r="K53" s="3">
        <v>3.0</v>
      </c>
      <c r="L53" s="3" t="s">
        <v>67</v>
      </c>
      <c r="M53" s="3" t="s">
        <v>198</v>
      </c>
      <c r="N53" s="3">
        <v>8.0</v>
      </c>
    </row>
    <row r="54">
      <c r="A54" s="2">
        <v>44064.346638414354</v>
      </c>
      <c r="B54" s="3" t="s">
        <v>199</v>
      </c>
      <c r="C54" s="3">
        <v>1.1440238E7</v>
      </c>
      <c r="D54" s="3" t="s">
        <v>200</v>
      </c>
      <c r="E54" s="4">
        <v>37296.0</v>
      </c>
      <c r="F54" s="3" t="s">
        <v>201</v>
      </c>
      <c r="G54" s="3">
        <v>77.0</v>
      </c>
      <c r="H54" s="3">
        <v>41.0</v>
      </c>
      <c r="I54" s="3" t="s">
        <v>17</v>
      </c>
      <c r="J54" s="3">
        <v>5.0</v>
      </c>
      <c r="K54" s="3">
        <v>3.0</v>
      </c>
      <c r="L54" s="3" t="s">
        <v>35</v>
      </c>
      <c r="M54" s="3" t="s">
        <v>59</v>
      </c>
      <c r="N54" s="3">
        <v>13.0</v>
      </c>
    </row>
    <row r="55">
      <c r="A55" s="2">
        <v>44064.354568124996</v>
      </c>
      <c r="B55" s="3" t="s">
        <v>202</v>
      </c>
      <c r="C55" s="3">
        <v>1.178238E7</v>
      </c>
      <c r="D55" s="3" t="s">
        <v>203</v>
      </c>
      <c r="E55" s="4">
        <v>37452.0</v>
      </c>
      <c r="F55" s="3" t="s">
        <v>120</v>
      </c>
      <c r="G55" s="3" t="s">
        <v>204</v>
      </c>
      <c r="H55" s="3">
        <v>38.0</v>
      </c>
      <c r="I55" s="3" t="s">
        <v>17</v>
      </c>
      <c r="J55" s="3">
        <v>0.0</v>
      </c>
      <c r="K55" s="3">
        <v>2.0</v>
      </c>
      <c r="L55" s="3" t="s">
        <v>205</v>
      </c>
      <c r="M55" s="3" t="s">
        <v>206</v>
      </c>
      <c r="N55" s="3">
        <v>4.0</v>
      </c>
    </row>
    <row r="56">
      <c r="A56" s="2">
        <v>44064.354772962964</v>
      </c>
      <c r="B56" s="3" t="s">
        <v>207</v>
      </c>
      <c r="C56" s="3">
        <v>1.181817E7</v>
      </c>
      <c r="D56" s="3" t="s">
        <v>208</v>
      </c>
      <c r="E56" s="4">
        <v>36490.0</v>
      </c>
      <c r="F56" s="3" t="s">
        <v>34</v>
      </c>
      <c r="G56" s="3">
        <v>64.0</v>
      </c>
      <c r="H56" s="3">
        <v>39.0</v>
      </c>
      <c r="I56" s="3" t="s">
        <v>17</v>
      </c>
      <c r="J56" s="3">
        <v>15.0</v>
      </c>
      <c r="K56" s="3">
        <v>3.0</v>
      </c>
      <c r="L56" s="3" t="s">
        <v>58</v>
      </c>
      <c r="M56" s="3" t="s">
        <v>59</v>
      </c>
      <c r="N56" s="3">
        <v>8.0</v>
      </c>
    </row>
    <row r="57">
      <c r="A57" s="2">
        <v>44064.362255810185</v>
      </c>
      <c r="B57" s="3" t="s">
        <v>209</v>
      </c>
      <c r="C57" s="3">
        <v>1.1782397E7</v>
      </c>
      <c r="D57" s="3" t="s">
        <v>210</v>
      </c>
      <c r="E57" s="4">
        <v>37054.0</v>
      </c>
      <c r="F57" s="3" t="s">
        <v>95</v>
      </c>
      <c r="G57" s="3">
        <v>75.0</v>
      </c>
      <c r="H57" s="3">
        <v>41.0</v>
      </c>
      <c r="I57" s="3" t="s">
        <v>17</v>
      </c>
      <c r="J57" s="3">
        <v>4.0</v>
      </c>
      <c r="K57" s="3">
        <v>3.0</v>
      </c>
      <c r="L57" s="3" t="s">
        <v>126</v>
      </c>
      <c r="M57" s="3" t="s">
        <v>78</v>
      </c>
      <c r="N57" s="3">
        <v>6.0</v>
      </c>
    </row>
    <row r="58">
      <c r="A58" s="2">
        <v>44064.37075710648</v>
      </c>
      <c r="B58" s="3" t="s">
        <v>211</v>
      </c>
      <c r="C58" s="3">
        <v>1.1782546E7</v>
      </c>
      <c r="D58" s="3" t="s">
        <v>212</v>
      </c>
      <c r="E58" s="4">
        <v>35711.0</v>
      </c>
      <c r="F58" s="3" t="s">
        <v>44</v>
      </c>
      <c r="G58" s="3">
        <v>115.0</v>
      </c>
      <c r="H58" s="3">
        <v>48.0</v>
      </c>
      <c r="I58" s="3" t="s">
        <v>17</v>
      </c>
      <c r="J58" s="3">
        <v>0.0</v>
      </c>
      <c r="K58" s="3">
        <v>1.0</v>
      </c>
      <c r="L58" s="3" t="s">
        <v>40</v>
      </c>
      <c r="M58" s="3" t="s">
        <v>130</v>
      </c>
      <c r="N58" s="3">
        <v>3.0</v>
      </c>
    </row>
    <row r="59">
      <c r="A59" s="2">
        <v>44064.37109180556</v>
      </c>
      <c r="B59" s="3" t="s">
        <v>213</v>
      </c>
      <c r="C59" s="3">
        <v>1.1254644E7</v>
      </c>
      <c r="D59" s="3" t="s">
        <v>214</v>
      </c>
      <c r="E59" s="4">
        <v>37441.0</v>
      </c>
      <c r="F59" s="3" t="s">
        <v>95</v>
      </c>
      <c r="G59" s="3">
        <v>90.0</v>
      </c>
      <c r="H59" s="3">
        <v>42.0</v>
      </c>
      <c r="I59" s="3" t="s">
        <v>17</v>
      </c>
      <c r="J59" s="3">
        <v>3.0</v>
      </c>
      <c r="K59" s="3">
        <v>3.0</v>
      </c>
      <c r="L59" s="3" t="s">
        <v>35</v>
      </c>
      <c r="M59" s="3" t="s">
        <v>130</v>
      </c>
      <c r="N59" s="3">
        <v>5.0</v>
      </c>
    </row>
    <row r="60">
      <c r="A60" s="2">
        <v>44064.37211865741</v>
      </c>
      <c r="B60" s="3" t="s">
        <v>215</v>
      </c>
      <c r="C60" s="3">
        <v>1.1894836E7</v>
      </c>
      <c r="D60" s="3" t="s">
        <v>216</v>
      </c>
      <c r="E60" s="4">
        <v>34729.0</v>
      </c>
      <c r="F60" s="3" t="s">
        <v>29</v>
      </c>
      <c r="G60" s="3">
        <v>55.0</v>
      </c>
      <c r="H60" s="3">
        <v>36.0</v>
      </c>
      <c r="I60" s="3" t="s">
        <v>24</v>
      </c>
      <c r="J60" s="3">
        <v>0.0</v>
      </c>
      <c r="K60" s="3">
        <v>1.0</v>
      </c>
      <c r="L60" s="3" t="s">
        <v>67</v>
      </c>
      <c r="M60" s="3" t="s">
        <v>217</v>
      </c>
      <c r="N60" s="3">
        <v>5.0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6" width="22.71"/>
  </cols>
  <sheetData>
    <row r="1">
      <c r="A1" s="3">
        <v>1.0</v>
      </c>
      <c r="B1" s="1">
        <f>'Respostas ao formulário 1'!N2</f>
        <v>5</v>
      </c>
      <c r="C1" s="5">
        <v>27.0</v>
      </c>
      <c r="D1" s="1">
        <v>0.0</v>
      </c>
      <c r="E1" s="3" t="s">
        <v>218</v>
      </c>
      <c r="F1" s="3" t="s">
        <v>219</v>
      </c>
      <c r="G1" s="1">
        <f>COUNTA(B:B)</f>
        <v>59</v>
      </c>
      <c r="L1" s="3" t="s">
        <v>220</v>
      </c>
      <c r="M1" s="3" t="s">
        <v>221</v>
      </c>
      <c r="N1" s="3" t="s">
        <v>222</v>
      </c>
      <c r="P1" s="3" t="s">
        <v>223</v>
      </c>
      <c r="Q1" s="3" t="s">
        <v>224</v>
      </c>
    </row>
    <row r="2">
      <c r="A2" s="3">
        <v>2.0</v>
      </c>
      <c r="B2" s="1">
        <f>'Respostas ao formulário 1'!N3</f>
        <v>2</v>
      </c>
      <c r="C2" s="5">
        <v>3.0</v>
      </c>
      <c r="D2" s="1">
        <v>1.0</v>
      </c>
      <c r="E2" s="3" t="s">
        <v>225</v>
      </c>
      <c r="F2" s="3" t="s">
        <v>226</v>
      </c>
      <c r="G2" s="1">
        <f>SQRT(G1)</f>
        <v>7.681145748</v>
      </c>
      <c r="H2" s="3">
        <f>ROUND(G2,0)</f>
        <v>8</v>
      </c>
      <c r="P2" s="1">
        <f>-0.049</f>
        <v>-0.049</v>
      </c>
      <c r="Q2" s="3">
        <v>6.0</v>
      </c>
    </row>
    <row r="3">
      <c r="A3" s="3">
        <v>3.0</v>
      </c>
      <c r="B3" s="1">
        <f>'Respostas ao formulário 1'!N4</f>
        <v>1</v>
      </c>
      <c r="C3" s="5">
        <v>2.0</v>
      </c>
      <c r="D3" s="1">
        <v>2.0</v>
      </c>
      <c r="E3" s="3" t="s">
        <v>227</v>
      </c>
      <c r="F3" s="3" t="s">
        <v>228</v>
      </c>
      <c r="G3" s="1">
        <f>LARGE(B:B,1)-SMALL(B:B,1)</f>
        <v>48</v>
      </c>
      <c r="P3" s="3">
        <v>6.0</v>
      </c>
      <c r="Q3" s="3">
        <v>12.0</v>
      </c>
    </row>
    <row r="4">
      <c r="A4" s="3">
        <v>4.0</v>
      </c>
      <c r="B4" s="1">
        <f>'Respostas ao formulário 1'!N5</f>
        <v>5</v>
      </c>
      <c r="C4" s="5">
        <v>10.0</v>
      </c>
      <c r="D4" s="1">
        <v>2.0</v>
      </c>
      <c r="E4" s="3" t="s">
        <v>229</v>
      </c>
      <c r="G4" s="1">
        <f>G3/G2</f>
        <v>6.249067727</v>
      </c>
      <c r="H4" s="1">
        <f>ROUND(G4,0)</f>
        <v>6</v>
      </c>
      <c r="I4" s="1">
        <f>H2*H4</f>
        <v>48</v>
      </c>
      <c r="J4" s="1">
        <f>H2*H4+1</f>
        <v>49</v>
      </c>
      <c r="P4" s="3">
        <v>12.0</v>
      </c>
      <c r="Q4" s="3">
        <v>18.0</v>
      </c>
    </row>
    <row r="5">
      <c r="A5" s="3">
        <v>5.0</v>
      </c>
      <c r="B5" s="1">
        <f>'Respostas ao formulário 1'!N6</f>
        <v>3</v>
      </c>
      <c r="C5" s="5">
        <v>12.0</v>
      </c>
      <c r="D5" s="1">
        <v>2.0</v>
      </c>
      <c r="P5" s="3">
        <v>18.0</v>
      </c>
      <c r="Q5" s="3">
        <v>24.0</v>
      </c>
    </row>
    <row r="6">
      <c r="A6" s="3">
        <v>6.0</v>
      </c>
      <c r="B6" s="1">
        <f>'Respostas ao formulário 1'!N7</f>
        <v>3</v>
      </c>
      <c r="C6" s="5">
        <v>29.0</v>
      </c>
      <c r="D6" s="1">
        <v>2.0</v>
      </c>
      <c r="P6" s="3">
        <v>24.0</v>
      </c>
      <c r="Q6" s="3">
        <v>30.0</v>
      </c>
    </row>
    <row r="7">
      <c r="A7" s="3">
        <v>7.0</v>
      </c>
      <c r="B7" s="1">
        <f>'Respostas ao formulário 1'!N8</f>
        <v>14</v>
      </c>
      <c r="C7" s="5">
        <v>41.0</v>
      </c>
      <c r="D7" s="1">
        <v>2.0</v>
      </c>
      <c r="P7" s="3">
        <v>30.0</v>
      </c>
      <c r="Q7" s="3">
        <v>36.0</v>
      </c>
    </row>
    <row r="8">
      <c r="A8" s="3">
        <v>8.0</v>
      </c>
      <c r="B8" s="1">
        <f>'Respostas ao formulário 1'!N9</f>
        <v>3</v>
      </c>
      <c r="C8" s="5">
        <v>42.0</v>
      </c>
      <c r="D8" s="1">
        <v>2.0</v>
      </c>
      <c r="P8" s="3">
        <v>36.0</v>
      </c>
      <c r="Q8" s="3">
        <v>42.0</v>
      </c>
    </row>
    <row r="9">
      <c r="A9" s="3">
        <v>9.0</v>
      </c>
      <c r="B9" s="1">
        <f>'Respostas ao formulário 1'!N10</f>
        <v>36</v>
      </c>
      <c r="C9" s="5">
        <v>5.0</v>
      </c>
      <c r="D9" s="1">
        <v>3.0</v>
      </c>
      <c r="P9" s="3">
        <v>42.0</v>
      </c>
      <c r="Q9" s="3">
        <v>48.0</v>
      </c>
    </row>
    <row r="10">
      <c r="A10" s="3">
        <v>10.0</v>
      </c>
      <c r="B10" s="1">
        <f>'Respostas ao formulário 1'!N11</f>
        <v>2</v>
      </c>
      <c r="C10" s="5">
        <v>6.0</v>
      </c>
      <c r="D10" s="1">
        <v>3.0</v>
      </c>
    </row>
    <row r="11">
      <c r="A11" s="3">
        <v>11.0</v>
      </c>
      <c r="B11" s="1">
        <f>'Respostas ao formulário 1'!N12</f>
        <v>6</v>
      </c>
      <c r="C11" s="5">
        <v>8.0</v>
      </c>
      <c r="D11" s="1">
        <v>3.0</v>
      </c>
    </row>
    <row r="12">
      <c r="A12" s="3">
        <v>12.0</v>
      </c>
      <c r="B12" s="1">
        <f>'Respostas ao formulário 1'!N13</f>
        <v>2</v>
      </c>
      <c r="C12" s="5">
        <v>16.0</v>
      </c>
      <c r="D12" s="1">
        <v>3.0</v>
      </c>
    </row>
    <row r="13">
      <c r="A13" s="3">
        <v>13.0</v>
      </c>
      <c r="B13" s="1">
        <f>'Respostas ao formulário 1'!N14</f>
        <v>5</v>
      </c>
      <c r="C13" s="5">
        <v>35.0</v>
      </c>
      <c r="D13" s="1">
        <v>3.0</v>
      </c>
    </row>
    <row r="14">
      <c r="A14" s="3">
        <v>14.0</v>
      </c>
      <c r="B14" s="1">
        <f>'Respostas ao formulário 1'!N15</f>
        <v>30</v>
      </c>
      <c r="C14" s="5">
        <v>39.0</v>
      </c>
      <c r="D14" s="1">
        <v>3.0</v>
      </c>
      <c r="M14" s="1">
        <f t="array" ref="M14:M30">FREQUENCY(C1:C59,P2:Q9)</f>
        <v>0</v>
      </c>
    </row>
    <row r="15">
      <c r="A15" s="3">
        <v>15.0</v>
      </c>
      <c r="B15" s="1">
        <f>'Respostas ao formulário 1'!N16</f>
        <v>14</v>
      </c>
      <c r="C15" s="5">
        <v>40.0</v>
      </c>
      <c r="D15" s="1">
        <v>3.0</v>
      </c>
      <c r="M15" s="1">
        <v>6.0</v>
      </c>
    </row>
    <row r="16">
      <c r="A16" s="3">
        <v>16.0</v>
      </c>
      <c r="B16" s="1">
        <f>'Respostas ao formulário 1'!N17</f>
        <v>3</v>
      </c>
      <c r="C16" s="5">
        <v>46.0</v>
      </c>
      <c r="D16" s="1">
        <v>3.0</v>
      </c>
      <c r="M16" s="1">
        <v>0.0</v>
      </c>
    </row>
    <row r="17">
      <c r="A17" s="3">
        <v>17.0</v>
      </c>
      <c r="B17" s="1">
        <f>'Respostas ao formulário 1'!N18</f>
        <v>4</v>
      </c>
      <c r="C17" s="5">
        <v>47.0</v>
      </c>
      <c r="D17" s="1">
        <v>3.0</v>
      </c>
      <c r="M17" s="1">
        <v>6.0</v>
      </c>
    </row>
    <row r="18">
      <c r="A18" s="3">
        <v>18.0</v>
      </c>
      <c r="B18" s="1">
        <f>'Respostas ao formulário 1'!N19</f>
        <v>17</v>
      </c>
      <c r="C18" s="5">
        <v>57.0</v>
      </c>
      <c r="D18" s="1">
        <v>3.0</v>
      </c>
      <c r="M18" s="1">
        <v>0.0</v>
      </c>
    </row>
    <row r="19">
      <c r="A19" s="3">
        <v>19.0</v>
      </c>
      <c r="B19" s="1">
        <f>'Respostas ao formulário 1'!N20</f>
        <v>10</v>
      </c>
      <c r="C19" s="5">
        <v>17.0</v>
      </c>
      <c r="D19" s="1">
        <v>4.0</v>
      </c>
      <c r="M19" s="1">
        <v>6.0</v>
      </c>
    </row>
    <row r="20">
      <c r="A20" s="3">
        <v>20.0</v>
      </c>
      <c r="B20" s="1">
        <f>'Respostas ao formulário 1'!N21</f>
        <v>5</v>
      </c>
      <c r="C20" s="5">
        <v>45.0</v>
      </c>
      <c r="D20" s="1">
        <v>4.0</v>
      </c>
      <c r="M20" s="1">
        <v>0.0</v>
      </c>
    </row>
    <row r="21">
      <c r="A21" s="3">
        <v>21.0</v>
      </c>
      <c r="B21" s="1">
        <f>'Respostas ao formulário 1'!N22</f>
        <v>9</v>
      </c>
      <c r="C21" s="5">
        <v>54.0</v>
      </c>
      <c r="D21" s="1">
        <v>4.0</v>
      </c>
      <c r="M21" s="1">
        <v>6.0</v>
      </c>
    </row>
    <row r="22">
      <c r="A22" s="3">
        <v>22.0</v>
      </c>
      <c r="B22" s="1">
        <f>'Respostas ao formulário 1'!N23</f>
        <v>10</v>
      </c>
      <c r="C22" s="5">
        <v>1.0</v>
      </c>
      <c r="D22" s="1">
        <v>5.0</v>
      </c>
      <c r="M22" s="1">
        <v>0.0</v>
      </c>
    </row>
    <row r="23">
      <c r="A23" s="3">
        <v>23.0</v>
      </c>
      <c r="B23" s="1">
        <f>'Respostas ao formulário 1'!N24</f>
        <v>12</v>
      </c>
      <c r="C23" s="5">
        <v>4.0</v>
      </c>
      <c r="D23" s="1">
        <v>5.0</v>
      </c>
      <c r="M23" s="1">
        <v>6.0</v>
      </c>
    </row>
    <row r="24">
      <c r="A24" s="3">
        <v>24.0</v>
      </c>
      <c r="B24" s="1">
        <f>'Respostas ao formulário 1'!N25</f>
        <v>15</v>
      </c>
      <c r="C24" s="5">
        <v>13.0</v>
      </c>
      <c r="D24" s="1">
        <v>5.0</v>
      </c>
      <c r="M24" s="1">
        <v>0.0</v>
      </c>
    </row>
    <row r="25">
      <c r="A25" s="3">
        <v>25.0</v>
      </c>
      <c r="B25" s="1">
        <f>'Respostas ao formulário 1'!N26</f>
        <v>11</v>
      </c>
      <c r="C25" s="5">
        <v>20.0</v>
      </c>
      <c r="D25" s="1">
        <v>5.0</v>
      </c>
      <c r="M25" s="1">
        <v>6.0</v>
      </c>
    </row>
    <row r="26">
      <c r="A26" s="3">
        <v>26.0</v>
      </c>
      <c r="B26" s="1">
        <f>'Respostas ao formulário 1'!N27</f>
        <v>22</v>
      </c>
      <c r="C26" s="5">
        <v>30.0</v>
      </c>
      <c r="D26" s="1">
        <v>5.0</v>
      </c>
      <c r="M26" s="1">
        <v>0.0</v>
      </c>
    </row>
    <row r="27">
      <c r="A27" s="3">
        <v>27.0</v>
      </c>
      <c r="B27" s="1">
        <f>'Respostas ao formulário 1'!N28</f>
        <v>0</v>
      </c>
      <c r="C27" s="5">
        <v>31.0</v>
      </c>
      <c r="D27" s="1">
        <v>5.0</v>
      </c>
      <c r="M27" s="1">
        <v>6.0</v>
      </c>
    </row>
    <row r="28">
      <c r="A28" s="3">
        <v>28.0</v>
      </c>
      <c r="B28" s="1">
        <f>'Respostas ao formulário 1'!N29</f>
        <v>7</v>
      </c>
      <c r="C28" s="5">
        <v>33.0</v>
      </c>
      <c r="D28" s="1">
        <v>5.0</v>
      </c>
      <c r="M28" s="1">
        <v>0.0</v>
      </c>
    </row>
    <row r="29">
      <c r="A29" s="3">
        <v>29.0</v>
      </c>
      <c r="B29" s="1">
        <f>'Respostas ao formulário 1'!N30</f>
        <v>2</v>
      </c>
      <c r="C29" s="5">
        <v>37.0</v>
      </c>
      <c r="D29" s="1">
        <v>5.0</v>
      </c>
      <c r="M29" s="1">
        <v>6.0</v>
      </c>
    </row>
    <row r="30">
      <c r="A30" s="3">
        <v>30.0</v>
      </c>
      <c r="B30" s="1">
        <f>'Respostas ao formulário 1'!N31</f>
        <v>5</v>
      </c>
      <c r="C30" s="5">
        <v>49.0</v>
      </c>
      <c r="D30" s="1">
        <v>5.0</v>
      </c>
      <c r="M30" s="1">
        <v>11.0</v>
      </c>
    </row>
    <row r="31">
      <c r="A31" s="3">
        <v>31.0</v>
      </c>
      <c r="B31" s="1">
        <f>'Respostas ao formulário 1'!N32</f>
        <v>5</v>
      </c>
      <c r="C31" s="5">
        <v>58.0</v>
      </c>
      <c r="D31" s="1">
        <v>5.0</v>
      </c>
    </row>
    <row r="32">
      <c r="A32" s="3">
        <v>32.0</v>
      </c>
      <c r="B32" s="1">
        <f>'Respostas ao formulário 1'!N33</f>
        <v>13</v>
      </c>
      <c r="C32" s="5">
        <v>59.0</v>
      </c>
      <c r="D32" s="1">
        <v>5.0</v>
      </c>
    </row>
    <row r="33">
      <c r="A33" s="3">
        <v>33.0</v>
      </c>
      <c r="B33" s="1">
        <f>'Respostas ao formulário 1'!N34</f>
        <v>5</v>
      </c>
      <c r="C33" s="5">
        <v>11.0</v>
      </c>
      <c r="D33" s="1">
        <v>6.0</v>
      </c>
    </row>
    <row r="34">
      <c r="A34" s="3">
        <v>34.0</v>
      </c>
      <c r="B34" s="1">
        <f>'Respostas ao formulário 1'!N35</f>
        <v>48</v>
      </c>
      <c r="C34" s="5">
        <v>56.0</v>
      </c>
      <c r="D34" s="1">
        <v>6.0</v>
      </c>
    </row>
    <row r="35">
      <c r="A35" s="3">
        <v>35.0</v>
      </c>
      <c r="B35" s="1">
        <f>'Respostas ao formulário 1'!N36</f>
        <v>3</v>
      </c>
      <c r="C35" s="5">
        <v>28.0</v>
      </c>
      <c r="D35" s="1">
        <v>7.0</v>
      </c>
    </row>
    <row r="36">
      <c r="A36" s="3">
        <v>36.0</v>
      </c>
      <c r="B36" s="1">
        <f>'Respostas ao formulário 1'!N37</f>
        <v>21</v>
      </c>
      <c r="C36" s="5">
        <v>52.0</v>
      </c>
      <c r="D36" s="1">
        <v>8.0</v>
      </c>
    </row>
    <row r="37">
      <c r="A37" s="3">
        <v>37.0</v>
      </c>
      <c r="B37" s="1">
        <f>'Respostas ao formulário 1'!N38</f>
        <v>5</v>
      </c>
      <c r="C37" s="5">
        <v>55.0</v>
      </c>
      <c r="D37" s="1">
        <v>8.0</v>
      </c>
    </row>
    <row r="38">
      <c r="A38" s="3">
        <v>38.0</v>
      </c>
      <c r="B38" s="1">
        <f>'Respostas ao formulário 1'!N39</f>
        <v>17</v>
      </c>
      <c r="C38" s="5">
        <v>21.0</v>
      </c>
      <c r="D38" s="1">
        <v>9.0</v>
      </c>
    </row>
    <row r="39">
      <c r="A39" s="3">
        <v>39.0</v>
      </c>
      <c r="B39" s="1">
        <f>'Respostas ao formulário 1'!N40</f>
        <v>3</v>
      </c>
      <c r="C39" s="5">
        <v>44.0</v>
      </c>
      <c r="D39" s="1">
        <v>9.0</v>
      </c>
    </row>
    <row r="40">
      <c r="A40" s="3">
        <v>40.0</v>
      </c>
      <c r="B40" s="1">
        <f>'Respostas ao formulário 1'!N41</f>
        <v>3</v>
      </c>
      <c r="C40" s="5">
        <v>48.0</v>
      </c>
      <c r="D40" s="1">
        <v>9.0</v>
      </c>
    </row>
    <row r="41">
      <c r="A41" s="3">
        <v>41.0</v>
      </c>
      <c r="B41" s="1">
        <f>'Respostas ao formulário 1'!N42</f>
        <v>2</v>
      </c>
      <c r="C41" s="5">
        <v>19.0</v>
      </c>
      <c r="D41" s="1">
        <v>10.0</v>
      </c>
    </row>
    <row r="42">
      <c r="A42" s="3">
        <v>42.0</v>
      </c>
      <c r="B42" s="1">
        <f>'Respostas ao formulário 1'!N43</f>
        <v>2</v>
      </c>
      <c r="C42" s="5">
        <v>22.0</v>
      </c>
      <c r="D42" s="1">
        <v>10.0</v>
      </c>
    </row>
    <row r="43">
      <c r="A43" s="3">
        <v>43.0</v>
      </c>
      <c r="B43" s="1">
        <f>'Respostas ao formulário 1'!N44</f>
        <v>11</v>
      </c>
      <c r="C43" s="5">
        <v>50.0</v>
      </c>
      <c r="D43" s="1">
        <v>10.0</v>
      </c>
    </row>
    <row r="44">
      <c r="A44" s="3">
        <v>44.0</v>
      </c>
      <c r="B44" s="1">
        <f>'Respostas ao formulário 1'!N45</f>
        <v>9</v>
      </c>
      <c r="C44" s="5">
        <v>25.0</v>
      </c>
      <c r="D44" s="1">
        <v>11.0</v>
      </c>
    </row>
    <row r="45">
      <c r="A45" s="3">
        <v>45.0</v>
      </c>
      <c r="B45" s="1">
        <f>'Respostas ao formulário 1'!N46</f>
        <v>4</v>
      </c>
      <c r="C45" s="5">
        <v>43.0</v>
      </c>
      <c r="D45" s="1">
        <v>11.0</v>
      </c>
    </row>
    <row r="46">
      <c r="A46" s="3">
        <v>46.0</v>
      </c>
      <c r="B46" s="1">
        <f>'Respostas ao formulário 1'!N47</f>
        <v>3</v>
      </c>
      <c r="C46" s="5">
        <v>23.0</v>
      </c>
      <c r="D46" s="1">
        <v>12.0</v>
      </c>
    </row>
    <row r="47">
      <c r="A47" s="3">
        <v>47.0</v>
      </c>
      <c r="B47" s="1">
        <f>'Respostas ao formulário 1'!N48</f>
        <v>3</v>
      </c>
      <c r="C47" s="5">
        <v>32.0</v>
      </c>
      <c r="D47" s="1">
        <v>13.0</v>
      </c>
    </row>
    <row r="48">
      <c r="A48" s="3">
        <v>48.0</v>
      </c>
      <c r="B48" s="1">
        <f>'Respostas ao formulário 1'!N49</f>
        <v>9</v>
      </c>
      <c r="C48" s="5">
        <v>53.0</v>
      </c>
      <c r="D48" s="1">
        <v>13.0</v>
      </c>
    </row>
    <row r="49">
      <c r="A49" s="3">
        <v>49.0</v>
      </c>
      <c r="B49" s="1">
        <f>'Respostas ao formulário 1'!N50</f>
        <v>5</v>
      </c>
      <c r="C49" s="5">
        <v>7.0</v>
      </c>
      <c r="D49" s="1">
        <v>14.0</v>
      </c>
    </row>
    <row r="50">
      <c r="A50" s="3">
        <v>50.0</v>
      </c>
      <c r="B50" s="1">
        <f>'Respostas ao formulário 1'!N51</f>
        <v>10</v>
      </c>
      <c r="C50" s="5">
        <v>15.0</v>
      </c>
      <c r="D50" s="1">
        <v>14.0</v>
      </c>
    </row>
    <row r="51">
      <c r="A51" s="3">
        <v>51.0</v>
      </c>
      <c r="B51" s="1">
        <f>'Respostas ao formulário 1'!N52</f>
        <v>33</v>
      </c>
      <c r="C51" s="5">
        <v>24.0</v>
      </c>
      <c r="D51" s="1">
        <v>15.0</v>
      </c>
    </row>
    <row r="52">
      <c r="A52" s="3">
        <v>52.0</v>
      </c>
      <c r="B52" s="1">
        <f>'Respostas ao formulário 1'!N53</f>
        <v>8</v>
      </c>
      <c r="C52" s="5">
        <v>18.0</v>
      </c>
      <c r="D52" s="1">
        <v>17.0</v>
      </c>
    </row>
    <row r="53">
      <c r="A53" s="3">
        <v>53.0</v>
      </c>
      <c r="B53" s="1">
        <f>'Respostas ao formulário 1'!N54</f>
        <v>13</v>
      </c>
      <c r="C53" s="5">
        <v>38.0</v>
      </c>
      <c r="D53" s="1">
        <v>17.0</v>
      </c>
    </row>
    <row r="54">
      <c r="A54" s="3">
        <v>54.0</v>
      </c>
      <c r="B54" s="1">
        <f>'Respostas ao formulário 1'!N55</f>
        <v>4</v>
      </c>
      <c r="C54" s="5">
        <v>36.0</v>
      </c>
      <c r="D54" s="1">
        <v>21.0</v>
      </c>
    </row>
    <row r="55">
      <c r="A55" s="3">
        <v>55.0</v>
      </c>
      <c r="B55" s="1">
        <f>'Respostas ao formulário 1'!N56</f>
        <v>8</v>
      </c>
      <c r="C55" s="5">
        <v>26.0</v>
      </c>
      <c r="D55" s="1">
        <v>22.0</v>
      </c>
    </row>
    <row r="56">
      <c r="A56" s="3">
        <v>56.0</v>
      </c>
      <c r="B56" s="1">
        <f>'Respostas ao formulário 1'!N57</f>
        <v>6</v>
      </c>
      <c r="C56" s="5">
        <v>14.0</v>
      </c>
      <c r="D56" s="1">
        <v>30.0</v>
      </c>
    </row>
    <row r="57">
      <c r="A57" s="3">
        <v>57.0</v>
      </c>
      <c r="B57" s="1">
        <f>'Respostas ao formulário 1'!N58</f>
        <v>3</v>
      </c>
      <c r="C57" s="5">
        <v>51.0</v>
      </c>
      <c r="D57" s="1">
        <v>33.0</v>
      </c>
    </row>
    <row r="58">
      <c r="A58" s="3">
        <v>58.0</v>
      </c>
      <c r="B58" s="1">
        <f>'Respostas ao formulário 1'!N59</f>
        <v>5</v>
      </c>
      <c r="C58" s="5">
        <v>9.0</v>
      </c>
      <c r="D58" s="1">
        <v>36.0</v>
      </c>
    </row>
    <row r="59">
      <c r="A59" s="3">
        <v>59.0</v>
      </c>
      <c r="B59" s="1">
        <f>'Respostas ao formulário 1'!N60</f>
        <v>5</v>
      </c>
      <c r="C59" s="5">
        <v>34.0</v>
      </c>
      <c r="D59" s="1">
        <v>48.0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">
        <v>27.0</v>
      </c>
      <c r="B1" s="1">
        <f>'Respostas ao formulário 1'!N28</f>
        <v>0</v>
      </c>
    </row>
    <row r="2">
      <c r="A2" s="3">
        <v>3.0</v>
      </c>
      <c r="B2" s="1">
        <f>'Respostas ao formulário 1'!N4</f>
        <v>1</v>
      </c>
    </row>
    <row r="3">
      <c r="A3" s="3">
        <v>2.0</v>
      </c>
      <c r="B3" s="1">
        <f>'Respostas ao formulário 1'!N3</f>
        <v>2</v>
      </c>
    </row>
    <row r="4">
      <c r="A4" s="3">
        <v>10.0</v>
      </c>
      <c r="B4" s="1">
        <f>'Respostas ao formulário 1'!N11</f>
        <v>2</v>
      </c>
    </row>
    <row r="5">
      <c r="A5" s="3">
        <v>12.0</v>
      </c>
      <c r="B5" s="1">
        <f>'Respostas ao formulário 1'!N13</f>
        <v>2</v>
      </c>
    </row>
    <row r="6">
      <c r="A6" s="3">
        <v>29.0</v>
      </c>
      <c r="B6" s="1">
        <f>'Respostas ao formulário 1'!N30</f>
        <v>2</v>
      </c>
    </row>
    <row r="7">
      <c r="A7" s="3">
        <v>41.0</v>
      </c>
      <c r="B7" s="1">
        <f>'Respostas ao formulário 1'!N42</f>
        <v>2</v>
      </c>
    </row>
    <row r="8">
      <c r="A8" s="3">
        <v>42.0</v>
      </c>
      <c r="B8" s="1">
        <f>'Respostas ao formulário 1'!N43</f>
        <v>2</v>
      </c>
    </row>
    <row r="9">
      <c r="A9" s="3">
        <v>5.0</v>
      </c>
      <c r="B9" s="1">
        <f>'Respostas ao formulário 1'!N6</f>
        <v>3</v>
      </c>
    </row>
    <row r="10">
      <c r="A10" s="3">
        <v>6.0</v>
      </c>
      <c r="B10" s="1">
        <f>'Respostas ao formulário 1'!N7</f>
        <v>3</v>
      </c>
    </row>
    <row r="11">
      <c r="A11" s="3">
        <v>8.0</v>
      </c>
      <c r="B11" s="1">
        <f>'Respostas ao formulário 1'!N9</f>
        <v>3</v>
      </c>
    </row>
    <row r="12">
      <c r="A12" s="3">
        <v>16.0</v>
      </c>
      <c r="B12" s="1">
        <f>'Respostas ao formulário 1'!N17</f>
        <v>3</v>
      </c>
    </row>
    <row r="13">
      <c r="A13" s="3">
        <v>35.0</v>
      </c>
      <c r="B13" s="1">
        <f>'Respostas ao formulário 1'!N36</f>
        <v>3</v>
      </c>
    </row>
    <row r="14">
      <c r="A14" s="3">
        <v>39.0</v>
      </c>
      <c r="B14" s="1">
        <f>'Respostas ao formulário 1'!N40</f>
        <v>3</v>
      </c>
    </row>
    <row r="15">
      <c r="A15" s="3">
        <v>40.0</v>
      </c>
      <c r="B15" s="1">
        <f>'Respostas ao formulário 1'!N41</f>
        <v>3</v>
      </c>
    </row>
    <row r="16">
      <c r="A16" s="3">
        <v>46.0</v>
      </c>
      <c r="B16" s="1">
        <f>'Respostas ao formulário 1'!N47</f>
        <v>3</v>
      </c>
    </row>
    <row r="17">
      <c r="A17" s="3">
        <v>47.0</v>
      </c>
      <c r="B17" s="1">
        <f>'Respostas ao formulário 1'!N48</f>
        <v>3</v>
      </c>
    </row>
    <row r="18">
      <c r="A18" s="3">
        <v>57.0</v>
      </c>
      <c r="B18" s="1">
        <f>'Respostas ao formulário 1'!N58</f>
        <v>3</v>
      </c>
    </row>
    <row r="19">
      <c r="A19" s="3">
        <v>17.0</v>
      </c>
      <c r="B19" s="1">
        <f>'Respostas ao formulário 1'!N18</f>
        <v>4</v>
      </c>
    </row>
    <row r="20">
      <c r="A20" s="3">
        <v>45.0</v>
      </c>
      <c r="B20" s="1">
        <f>'Respostas ao formulário 1'!N46</f>
        <v>4</v>
      </c>
    </row>
    <row r="21">
      <c r="A21" s="3">
        <v>54.0</v>
      </c>
      <c r="B21" s="1">
        <f>'Respostas ao formulário 1'!N55</f>
        <v>4</v>
      </c>
    </row>
    <row r="22">
      <c r="A22" s="3">
        <v>1.0</v>
      </c>
      <c r="B22" s="1">
        <f>'Respostas ao formulário 1'!N2</f>
        <v>5</v>
      </c>
    </row>
    <row r="23">
      <c r="A23" s="3">
        <v>4.0</v>
      </c>
      <c r="B23" s="1">
        <f>'Respostas ao formulário 1'!N5</f>
        <v>5</v>
      </c>
    </row>
    <row r="24">
      <c r="A24" s="3">
        <v>13.0</v>
      </c>
      <c r="B24" s="1">
        <f>'Respostas ao formulário 1'!N14</f>
        <v>5</v>
      </c>
    </row>
    <row r="25">
      <c r="A25" s="3">
        <v>20.0</v>
      </c>
      <c r="B25" s="1">
        <f>'Respostas ao formulário 1'!N21</f>
        <v>5</v>
      </c>
    </row>
    <row r="26">
      <c r="A26" s="3">
        <v>30.0</v>
      </c>
      <c r="B26" s="1">
        <f>'Respostas ao formulário 1'!N31</f>
        <v>5</v>
      </c>
    </row>
    <row r="27">
      <c r="A27" s="3">
        <v>31.0</v>
      </c>
      <c r="B27" s="1">
        <f>'Respostas ao formulário 1'!N32</f>
        <v>5</v>
      </c>
    </row>
    <row r="28">
      <c r="A28" s="3">
        <v>33.0</v>
      </c>
      <c r="B28" s="1">
        <f>'Respostas ao formulário 1'!N34</f>
        <v>5</v>
      </c>
    </row>
    <row r="29">
      <c r="A29" s="3">
        <v>37.0</v>
      </c>
      <c r="B29" s="1">
        <f>'Respostas ao formulário 1'!N38</f>
        <v>5</v>
      </c>
    </row>
    <row r="30">
      <c r="A30" s="3">
        <v>49.0</v>
      </c>
      <c r="B30" s="1">
        <f>'Respostas ao formulário 1'!N50</f>
        <v>5</v>
      </c>
    </row>
    <row r="31">
      <c r="A31" s="3">
        <v>58.0</v>
      </c>
      <c r="B31" s="1">
        <f>'Respostas ao formulário 1'!N59</f>
        <v>5</v>
      </c>
    </row>
    <row r="32">
      <c r="A32" s="3">
        <v>59.0</v>
      </c>
      <c r="B32" s="1">
        <f>'Respostas ao formulário 1'!N60</f>
        <v>5</v>
      </c>
    </row>
    <row r="33">
      <c r="A33" s="3">
        <v>11.0</v>
      </c>
      <c r="B33" s="1">
        <f>'Respostas ao formulário 1'!N12</f>
        <v>6</v>
      </c>
    </row>
    <row r="34">
      <c r="A34" s="3">
        <v>56.0</v>
      </c>
      <c r="B34" s="1">
        <f>'Respostas ao formulário 1'!N57</f>
        <v>6</v>
      </c>
    </row>
    <row r="35">
      <c r="A35" s="3">
        <v>28.0</v>
      </c>
      <c r="B35" s="1">
        <f>'Respostas ao formulário 1'!N29</f>
        <v>7</v>
      </c>
    </row>
    <row r="36">
      <c r="A36" s="3">
        <v>52.0</v>
      </c>
      <c r="B36" s="1">
        <f>'Respostas ao formulário 1'!N53</f>
        <v>8</v>
      </c>
    </row>
    <row r="37">
      <c r="A37" s="3">
        <v>55.0</v>
      </c>
      <c r="B37" s="1">
        <f>'Respostas ao formulário 1'!N56</f>
        <v>8</v>
      </c>
    </row>
    <row r="38">
      <c r="A38" s="3">
        <v>21.0</v>
      </c>
      <c r="B38" s="1">
        <f>'Respostas ao formulário 1'!N22</f>
        <v>9</v>
      </c>
    </row>
    <row r="39">
      <c r="A39" s="3">
        <v>44.0</v>
      </c>
      <c r="B39" s="1">
        <f>'Respostas ao formulário 1'!N45</f>
        <v>9</v>
      </c>
    </row>
    <row r="40">
      <c r="A40" s="3">
        <v>48.0</v>
      </c>
      <c r="B40" s="1">
        <f>'Respostas ao formulário 1'!N49</f>
        <v>9</v>
      </c>
    </row>
    <row r="41">
      <c r="A41" s="3">
        <v>19.0</v>
      </c>
      <c r="B41" s="1">
        <f>'Respostas ao formulário 1'!N20</f>
        <v>10</v>
      </c>
    </row>
    <row r="42">
      <c r="A42" s="3">
        <v>22.0</v>
      </c>
      <c r="B42" s="1">
        <f>'Respostas ao formulário 1'!N23</f>
        <v>10</v>
      </c>
    </row>
    <row r="43">
      <c r="A43" s="3">
        <v>50.0</v>
      </c>
      <c r="B43" s="1">
        <f>'Respostas ao formulário 1'!N51</f>
        <v>10</v>
      </c>
    </row>
    <row r="44">
      <c r="A44" s="3">
        <v>25.0</v>
      </c>
      <c r="B44" s="1">
        <f>'Respostas ao formulário 1'!N26</f>
        <v>11</v>
      </c>
    </row>
    <row r="45">
      <c r="A45" s="3">
        <v>43.0</v>
      </c>
      <c r="B45" s="1">
        <f>'Respostas ao formulário 1'!N44</f>
        <v>11</v>
      </c>
    </row>
    <row r="46">
      <c r="A46" s="3">
        <v>23.0</v>
      </c>
      <c r="B46" s="1">
        <f>'Respostas ao formulário 1'!N24</f>
        <v>12</v>
      </c>
    </row>
    <row r="47">
      <c r="A47" s="3">
        <v>32.0</v>
      </c>
      <c r="B47" s="1">
        <f>'Respostas ao formulário 1'!N33</f>
        <v>13</v>
      </c>
    </row>
    <row r="48">
      <c r="A48" s="3">
        <v>53.0</v>
      </c>
      <c r="B48" s="1">
        <f>'Respostas ao formulário 1'!N54</f>
        <v>13</v>
      </c>
    </row>
    <row r="49">
      <c r="A49" s="3">
        <v>7.0</v>
      </c>
      <c r="B49" s="1">
        <f>'Respostas ao formulário 1'!N8</f>
        <v>14</v>
      </c>
    </row>
    <row r="50">
      <c r="A50" s="3">
        <v>15.0</v>
      </c>
      <c r="B50" s="1">
        <f>'Respostas ao formulário 1'!N16</f>
        <v>14</v>
      </c>
    </row>
    <row r="51">
      <c r="A51" s="3">
        <v>24.0</v>
      </c>
      <c r="B51" s="1">
        <f>'Respostas ao formulário 1'!N25</f>
        <v>15</v>
      </c>
    </row>
    <row r="52">
      <c r="A52" s="3">
        <v>18.0</v>
      </c>
      <c r="B52" s="1">
        <f>'Respostas ao formulário 1'!N19</f>
        <v>17</v>
      </c>
    </row>
    <row r="53">
      <c r="A53" s="3">
        <v>38.0</v>
      </c>
      <c r="B53" s="1">
        <f>'Respostas ao formulário 1'!N39</f>
        <v>17</v>
      </c>
    </row>
    <row r="54">
      <c r="A54" s="3">
        <v>36.0</v>
      </c>
      <c r="B54" s="1">
        <f>'Respostas ao formulário 1'!N37</f>
        <v>21</v>
      </c>
    </row>
    <row r="55">
      <c r="A55" s="3">
        <v>26.0</v>
      </c>
      <c r="B55" s="1">
        <f>'Respostas ao formulário 1'!N27</f>
        <v>22</v>
      </c>
    </row>
    <row r="56">
      <c r="A56" s="3">
        <v>14.0</v>
      </c>
      <c r="B56" s="1">
        <f>'Respostas ao formulário 1'!N15</f>
        <v>30</v>
      </c>
    </row>
    <row r="57">
      <c r="A57" s="3">
        <v>51.0</v>
      </c>
      <c r="B57" s="1">
        <f>'Respostas ao formulário 1'!N52</f>
        <v>33</v>
      </c>
    </row>
    <row r="58">
      <c r="A58" s="3">
        <v>9.0</v>
      </c>
      <c r="B58" s="1">
        <f>'Respostas ao formulário 1'!N10</f>
        <v>36</v>
      </c>
    </row>
    <row r="59">
      <c r="A59" s="3">
        <v>34.0</v>
      </c>
      <c r="B59" s="1">
        <f>'Respostas ao formulário 1'!N35</f>
        <v>48</v>
      </c>
    </row>
  </sheetData>
  <drawing r:id="rId1"/>
</worksheet>
</file>